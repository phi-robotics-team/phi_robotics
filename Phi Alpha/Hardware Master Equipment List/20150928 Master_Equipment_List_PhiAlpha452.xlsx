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6380" windowHeight="8190" activeTab="1"/>
  </bookViews>
  <sheets>
    <sheet name="Priority order" sheetId="6" r:id="rId1"/>
    <sheet name="Inwork" sheetId="5" r:id="rId2"/>
  </sheets>
  <definedNames>
    <definedName name="_xlnm._FilterDatabase" localSheetId="1" hidden="1">Inwork!$A$3:$M$61</definedName>
    <definedName name="_xlnm._FilterDatabase" localSheetId="0" hidden="1">'Priority order'!$A$3:$M$61</definedName>
  </definedNames>
  <calcPr calcId="125725"/>
</workbook>
</file>

<file path=xl/calcChain.xml><?xml version="1.0" encoding="utf-8"?>
<calcChain xmlns="http://schemas.openxmlformats.org/spreadsheetml/2006/main">
  <c r="K122" i="6"/>
  <c r="K121"/>
  <c r="K118"/>
  <c r="K117"/>
  <c r="K116"/>
  <c r="K112"/>
  <c r="K109"/>
  <c r="K108"/>
  <c r="K107"/>
  <c r="K103"/>
  <c r="K102"/>
  <c r="K101"/>
  <c r="K100"/>
  <c r="K99"/>
  <c r="K98"/>
  <c r="K97"/>
  <c r="K94"/>
  <c r="K85"/>
  <c r="K84"/>
  <c r="K83"/>
  <c r="K82"/>
  <c r="K62"/>
  <c r="K61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E21"/>
  <c r="K20"/>
  <c r="E20"/>
  <c r="K19"/>
  <c r="E19"/>
  <c r="K18"/>
  <c r="E18"/>
  <c r="K17"/>
  <c r="E17"/>
  <c r="K16"/>
  <c r="K15"/>
  <c r="K14"/>
  <c r="K13"/>
  <c r="K12"/>
  <c r="K11"/>
  <c r="K10"/>
  <c r="K9"/>
  <c r="K8"/>
  <c r="K6"/>
  <c r="K5"/>
  <c r="K4"/>
  <c r="K3"/>
  <c r="K125" s="1"/>
  <c r="K5" i="5"/>
  <c r="K4"/>
  <c r="E21"/>
  <c r="E20"/>
  <c r="E19"/>
  <c r="E18"/>
  <c r="E17"/>
  <c r="K10"/>
  <c r="K11"/>
  <c r="K14"/>
  <c r="K13"/>
  <c r="K6"/>
  <c r="K9"/>
  <c r="K16"/>
  <c r="K15"/>
  <c r="K61"/>
  <c r="K59"/>
  <c r="K58"/>
  <c r="K8"/>
  <c r="K56"/>
  <c r="K46"/>
  <c r="K62"/>
  <c r="K45"/>
  <c r="K60"/>
  <c r="K57"/>
  <c r="K3"/>
  <c r="K55"/>
  <c r="K54"/>
  <c r="K53"/>
  <c r="K52"/>
  <c r="K51"/>
  <c r="K50"/>
  <c r="K49"/>
  <c r="K48"/>
  <c r="K47"/>
  <c r="K44"/>
  <c r="K43"/>
  <c r="K42"/>
  <c r="K41"/>
  <c r="K40"/>
  <c r="K39"/>
  <c r="K36"/>
  <c r="K35"/>
  <c r="K34"/>
  <c r="K33"/>
  <c r="K30"/>
  <c r="K29"/>
  <c r="K38"/>
  <c r="K37"/>
  <c r="K26"/>
  <c r="K32"/>
  <c r="K31"/>
  <c r="K28"/>
  <c r="K27"/>
  <c r="K25"/>
  <c r="K24"/>
  <c r="K23"/>
  <c r="K12"/>
  <c r="K22"/>
  <c r="K21"/>
  <c r="K20"/>
  <c r="K19"/>
  <c r="K65" s="1"/>
  <c r="K18"/>
  <c r="K17"/>
</calcChain>
</file>

<file path=xl/comments1.xml><?xml version="1.0" encoding="utf-8"?>
<comments xmlns="http://schemas.openxmlformats.org/spreadsheetml/2006/main">
  <authors>
    <author>Mike McMillan</author>
  </authors>
  <commentList>
    <comment ref="J57" authorId="0">
      <text>
        <r>
          <rPr>
            <b/>
            <sz val="9"/>
            <color indexed="81"/>
            <rFont val="Tahoma"/>
            <family val="2"/>
          </rPr>
          <t>Mike McMillan:</t>
        </r>
        <r>
          <rPr>
            <sz val="9"/>
            <color indexed="81"/>
            <rFont val="Tahoma"/>
            <family val="2"/>
          </rPr>
          <t xml:space="preserve">
MAY NOT NEED FOR NEW ELECTIONICS
</t>
        </r>
      </text>
    </comment>
  </commentList>
</comments>
</file>

<file path=xl/comments2.xml><?xml version="1.0" encoding="utf-8"?>
<comments xmlns="http://schemas.openxmlformats.org/spreadsheetml/2006/main">
  <authors>
    <author>Mike McMillan</author>
  </authors>
  <commentList>
    <comment ref="J57" authorId="0">
      <text>
        <r>
          <rPr>
            <b/>
            <sz val="9"/>
            <color indexed="81"/>
            <rFont val="Tahoma"/>
            <family val="2"/>
          </rPr>
          <t>Mike McMillan:</t>
        </r>
        <r>
          <rPr>
            <sz val="9"/>
            <color indexed="81"/>
            <rFont val="Tahoma"/>
            <family val="2"/>
          </rPr>
          <t xml:space="preserve">
MAY NOT NEED FOR NEW ELECTIONICS
</t>
        </r>
      </text>
    </comment>
  </commentList>
</comments>
</file>

<file path=xl/sharedStrings.xml><?xml version="1.0" encoding="utf-8"?>
<sst xmlns="http://schemas.openxmlformats.org/spreadsheetml/2006/main" count="610" uniqueCount="283">
  <si>
    <t>part Number</t>
  </si>
  <si>
    <t>Description</t>
  </si>
  <si>
    <t>size</t>
  </si>
  <si>
    <t>Color</t>
  </si>
  <si>
    <t>Vendor</t>
  </si>
  <si>
    <t>Price</t>
  </si>
  <si>
    <t>units/pack</t>
  </si>
  <si>
    <t>Quantity</t>
  </si>
  <si>
    <t>Total</t>
  </si>
  <si>
    <t>Pitsco(Tetrix)</t>
  </si>
  <si>
    <t>Inside Corner Bracket</t>
  </si>
  <si>
    <t>AZ39098</t>
  </si>
  <si>
    <t>Small screw</t>
  </si>
  <si>
    <t>Small</t>
  </si>
  <si>
    <t>pitsco(Tetrix)</t>
  </si>
  <si>
    <t>AZ39097</t>
  </si>
  <si>
    <t>Medium screw</t>
  </si>
  <si>
    <t>Medium</t>
  </si>
  <si>
    <t>Pitsco(tetrix)</t>
  </si>
  <si>
    <t>AZ39094</t>
  </si>
  <si>
    <t>AZ39111</t>
  </si>
  <si>
    <t>Flat screws</t>
  </si>
  <si>
    <t>3 8</t>
  </si>
  <si>
    <t>AZ39197</t>
  </si>
  <si>
    <t>180 servo</t>
  </si>
  <si>
    <t>AZ39172</t>
  </si>
  <si>
    <t>Axle Hub</t>
  </si>
  <si>
    <t>Axle</t>
  </si>
  <si>
    <t>100mm</t>
  </si>
  <si>
    <t>250mm</t>
  </si>
  <si>
    <t>AZ39079</t>
  </si>
  <si>
    <t>Chain with Links</t>
  </si>
  <si>
    <t>5 feet</t>
  </si>
  <si>
    <t>AZ39057</t>
  </si>
  <si>
    <t>Hex Keys</t>
  </si>
  <si>
    <t>4 each size</t>
  </si>
  <si>
    <t>AZ39217</t>
  </si>
  <si>
    <t>Chain Breaker Tool</t>
  </si>
  <si>
    <t>AZ39089</t>
  </si>
  <si>
    <t>Motor Mount</t>
  </si>
  <si>
    <t>Motor power cable</t>
  </si>
  <si>
    <t>8800k43</t>
  </si>
  <si>
    <t>Kevlar Thread</t>
  </si>
  <si>
    <t>McMaster carr</t>
  </si>
  <si>
    <t>66 yards</t>
  </si>
  <si>
    <t>87635k63</t>
  </si>
  <si>
    <t>polyester thread</t>
  </si>
  <si>
    <t>120 yards</t>
  </si>
  <si>
    <t>3434T33</t>
  </si>
  <si>
    <t>3 64</t>
  </si>
  <si>
    <t>MCMaster carr</t>
  </si>
  <si>
    <t>Core_motor Controller</t>
  </si>
  <si>
    <t>Core_Power_Distribution_Module</t>
  </si>
  <si>
    <t>Core_Servo_Controller</t>
  </si>
  <si>
    <t>Part Name</t>
  </si>
  <si>
    <t>TETRIX_731901_120_2013</t>
  </si>
  <si>
    <t>120-Tooth Gear</t>
  </si>
  <si>
    <t>TETRIX_731903_2012</t>
  </si>
  <si>
    <t>Motor Power Wire</t>
  </si>
  <si>
    <t>TETRIX_736466_2012</t>
  </si>
  <si>
    <t>TETRIX_738000_2012</t>
  </si>
  <si>
    <t>Motor Encoder</t>
  </si>
  <si>
    <t>TETRIX_738009_BATPACK_BRKT_2013</t>
  </si>
  <si>
    <t>Battery Clip</t>
  </si>
  <si>
    <t>TETRIX_739028_2012</t>
  </si>
  <si>
    <t>40-Tooth Gear</t>
  </si>
  <si>
    <t>TETRIX_739055_2012</t>
  </si>
  <si>
    <t>4" Wheel</t>
  </si>
  <si>
    <t>TETRIX_739057_2012</t>
  </si>
  <si>
    <t>Battery Pack</t>
  </si>
  <si>
    <t>TETRIX_739060_2012</t>
  </si>
  <si>
    <t>Single Standard Scale Servo Bracket</t>
  </si>
  <si>
    <t>TETRIX_739061_2012</t>
  </si>
  <si>
    <t>Flat Bracket</t>
  </si>
  <si>
    <t>TETRIX_739062_2012</t>
  </si>
  <si>
    <t>L Bracket</t>
  </si>
  <si>
    <t>TETRIX_739065_2012</t>
  </si>
  <si>
    <t>32mm Channel</t>
  </si>
  <si>
    <t>TETRIX_739066_2012</t>
  </si>
  <si>
    <t>96mm Channel</t>
  </si>
  <si>
    <t>TETRIX_739067_2012</t>
  </si>
  <si>
    <t>160m Channel</t>
  </si>
  <si>
    <t>TETRIX_739068_2012</t>
  </si>
  <si>
    <t>288mm Channel</t>
  </si>
  <si>
    <t>TETRIX_739069_2012</t>
  </si>
  <si>
    <t>416mm Channel</t>
  </si>
  <si>
    <t>TETRIX_739071_2012</t>
  </si>
  <si>
    <t>288mm Angle</t>
  </si>
  <si>
    <t>TETRIX_739072_2012</t>
  </si>
  <si>
    <t>144mm Angle</t>
  </si>
  <si>
    <t>TETRIX_739073_2012</t>
  </si>
  <si>
    <t>TETRIX_739079_2012</t>
  </si>
  <si>
    <t>Motor Hub</t>
  </si>
  <si>
    <t>TETRIX_739083_2012</t>
  </si>
  <si>
    <t>TETRIX DC Motor</t>
  </si>
  <si>
    <t>TETRIX_739086_2012</t>
  </si>
  <si>
    <t>80-Tooth Gear</t>
  </si>
  <si>
    <t>TETRIX_739089_2012</t>
  </si>
  <si>
    <t>DC Motor Mount</t>
  </si>
  <si>
    <t>TETRIX_739090_2012</t>
  </si>
  <si>
    <t>Gear Hub Spacer</t>
  </si>
  <si>
    <t>TETRIX_739091_2013</t>
  </si>
  <si>
    <t>Bronze Bushing</t>
  </si>
  <si>
    <t>TETRIX_739092_ 2012</t>
  </si>
  <si>
    <t>Axel Collar</t>
  </si>
  <si>
    <t>TETRIX_739094_2013</t>
  </si>
  <si>
    <t>Kep Nut</t>
  </si>
  <si>
    <t>TETRIX_739097_2013</t>
  </si>
  <si>
    <t>1/2" Socket Head Cap Screw</t>
  </si>
  <si>
    <t>TETRIX_739098_2012</t>
  </si>
  <si>
    <t>5/16" Socket Head Cap Screw</t>
  </si>
  <si>
    <t>TETRIX_739100_2012</t>
  </si>
  <si>
    <t>1/8" Axel Spacer</t>
  </si>
  <si>
    <t>TETRIX_739101_2012</t>
  </si>
  <si>
    <t>3/8" Axel Spacer</t>
  </si>
  <si>
    <t>TETRIX_739102_2012</t>
  </si>
  <si>
    <t>1" Stand-off</t>
  </si>
  <si>
    <t>TETRIX_739107_2013</t>
  </si>
  <si>
    <t>32mm Stand-of</t>
  </si>
  <si>
    <t>TETRIX_739111_2012</t>
  </si>
  <si>
    <t>TETRIX_739120_2012</t>
  </si>
  <si>
    <t>TETRIX_739172_ 2012</t>
  </si>
  <si>
    <t>TETRIX_739270_2013</t>
  </si>
  <si>
    <t>Button Head Cap Screw</t>
  </si>
  <si>
    <t>Hard Point Connector</t>
  </si>
  <si>
    <t>Axel Hub</t>
  </si>
  <si>
    <t>Motor Mount Screw</t>
  </si>
  <si>
    <t>Standard-Scale HS-485HB Servo Motor</t>
  </si>
  <si>
    <t>Inside C Connector</t>
  </si>
  <si>
    <t>AZ34303</t>
  </si>
  <si>
    <t>AZ34302</t>
  </si>
  <si>
    <t>AZ36465</t>
  </si>
  <si>
    <t>AZ36466</t>
  </si>
  <si>
    <t>AZ38009</t>
  </si>
  <si>
    <t>AZ39028</t>
  </si>
  <si>
    <t>TETRIX</t>
  </si>
  <si>
    <t>Battery Pack Charger</t>
  </si>
  <si>
    <t>az39830</t>
  </si>
  <si>
    <t>AZ39060</t>
  </si>
  <si>
    <t>AZ39062</t>
  </si>
  <si>
    <t>AZ39530</t>
  </si>
  <si>
    <t>AZ39086</t>
  </si>
  <si>
    <t>AZ39376</t>
  </si>
  <si>
    <t>AZ39091</t>
  </si>
  <si>
    <t>W39098</t>
  </si>
  <si>
    <t>W39097</t>
  </si>
  <si>
    <t>W39100</t>
  </si>
  <si>
    <t>W39101</t>
  </si>
  <si>
    <t>W39102</t>
  </si>
  <si>
    <t>W39107</t>
  </si>
  <si>
    <t>W39111</t>
  </si>
  <si>
    <t>W39120</t>
  </si>
  <si>
    <t>W39172</t>
  </si>
  <si>
    <t xml:space="preserve">MOTOR MOUNT </t>
  </si>
  <si>
    <t>TETRIX_MAXMOTORMOUNT</t>
  </si>
  <si>
    <t>W3989</t>
  </si>
  <si>
    <t>w380000</t>
  </si>
  <si>
    <t>NEVEREST_60_MOTOR</t>
  </si>
  <si>
    <t>AM-3103</t>
  </si>
  <si>
    <t>Motor with encoder</t>
  </si>
  <si>
    <t>Andymark</t>
  </si>
  <si>
    <t>1.46"dia</t>
  </si>
  <si>
    <t>AM-2992</t>
  </si>
  <si>
    <t>19.5"</t>
  </si>
  <si>
    <t>hall_affect_encoder_cable</t>
  </si>
  <si>
    <t>encoder cable with 4_pin connector</t>
  </si>
  <si>
    <t>have 3- don't know how many work.</t>
  </si>
  <si>
    <t>Have 1 new one</t>
  </si>
  <si>
    <t>Check with Andy Mark</t>
  </si>
  <si>
    <t>Order from andy aMark with encoder.</t>
  </si>
  <si>
    <t>6 DC motors</t>
  </si>
  <si>
    <t>Verify</t>
  </si>
  <si>
    <t>AZ38007</t>
  </si>
  <si>
    <t>Tetrix Max Vevel Gear &amp; Acetal Bearings</t>
  </si>
  <si>
    <t>AZ39375</t>
  </si>
  <si>
    <t>Tetrix Max Worm Gear Box</t>
  </si>
  <si>
    <t>4:1 worm gear</t>
  </si>
  <si>
    <t>Tetrix Max 32-Tooth Sprocket Pack</t>
  </si>
  <si>
    <t>Chain sprockets</t>
  </si>
  <si>
    <t>Tetrix Max 24-Tooth Sprocket Pack</t>
  </si>
  <si>
    <t>Tetrix Max 16-Tooth Sprocket Pack</t>
  </si>
  <si>
    <t>Brackets</t>
  </si>
  <si>
    <t>Channels</t>
  </si>
  <si>
    <t>Angles</t>
  </si>
  <si>
    <t>Flat Building Plate</t>
  </si>
  <si>
    <t>Plates</t>
  </si>
  <si>
    <t>Wheels</t>
  </si>
  <si>
    <t>Axles/Shafts</t>
  </si>
  <si>
    <t>Screws/Nuts</t>
  </si>
  <si>
    <t>Servo's</t>
  </si>
  <si>
    <t>Chains/Sprockets</t>
  </si>
  <si>
    <t>Batteries</t>
  </si>
  <si>
    <t>Tools</t>
  </si>
  <si>
    <t>Miscellaneous Small Parts</t>
  </si>
  <si>
    <t>Motors</t>
  </si>
  <si>
    <t>Controllers / Power distribution</t>
  </si>
  <si>
    <t>12 Volt - NIMH</t>
  </si>
  <si>
    <t>Gears</t>
  </si>
  <si>
    <t>Wires</t>
  </si>
  <si>
    <t>Power (14 gauge (black white)</t>
  </si>
  <si>
    <t>thread pulleys</t>
  </si>
  <si>
    <t>Retracting Cable (300V AC-Light Duty)</t>
  </si>
  <si>
    <t>18 Gauge 2 wire</t>
  </si>
  <si>
    <t>TETRIX MAX Omni Wheel Pack</t>
  </si>
  <si>
    <t>4 inch</t>
  </si>
  <si>
    <t>W36466</t>
  </si>
  <si>
    <t>W39104</t>
  </si>
  <si>
    <t>7/64, 3/32, 1/16, 5/64</t>
  </si>
  <si>
    <t>7088k211</t>
  </si>
  <si>
    <t>2ft, 18ga</t>
  </si>
  <si>
    <t>4"</t>
  </si>
  <si>
    <t>Color Sensor</t>
  </si>
  <si>
    <t>Polycarbonate</t>
  </si>
  <si>
    <t>Tread &amp; Inserts</t>
  </si>
  <si>
    <t>Check with Caddics</t>
  </si>
  <si>
    <t>Tread Kits</t>
  </si>
  <si>
    <t>W36468</t>
  </si>
  <si>
    <t>Tetrix Max Tank Tread Kit</t>
  </si>
  <si>
    <t>Pitsco (Tetrix)</t>
  </si>
  <si>
    <t>W36464</t>
  </si>
  <si>
    <t>Tetrix Max Tank Tread Inserts</t>
  </si>
  <si>
    <t>9697T2</t>
  </si>
  <si>
    <t>Easy-ID Low-Voltage Cable</t>
  </si>
  <si>
    <t>18 Gauge 2 wire black/red</t>
  </si>
  <si>
    <t>50ft, 18 ga</t>
  </si>
  <si>
    <t>18 gauge wire</t>
  </si>
  <si>
    <t>Polycarbonate Sheet</t>
  </si>
  <si>
    <t>Polycarbonate sheet</t>
  </si>
  <si>
    <t>Andy Mark</t>
  </si>
  <si>
    <t>AM-0980</t>
  </si>
  <si>
    <t>24"x24", 0.118"</t>
  </si>
  <si>
    <t>0.118"</t>
  </si>
  <si>
    <t>Core Device Interface Module</t>
  </si>
  <si>
    <t>AUA3030</t>
  </si>
  <si>
    <t>Modern Robotics, Inc.</t>
  </si>
  <si>
    <t>W39069/AZ39069</t>
  </si>
  <si>
    <t>W39068/AZ39068</t>
  </si>
  <si>
    <t>W39067/AZ39067</t>
  </si>
  <si>
    <t>W39066/AZ39066</t>
  </si>
  <si>
    <t>W39065/AZ39065</t>
  </si>
  <si>
    <t>W39085/AZ39085</t>
  </si>
  <si>
    <t>W39090/AZ39090</t>
  </si>
  <si>
    <t>W39055/AZ39055</t>
  </si>
  <si>
    <t>Velcro</t>
  </si>
  <si>
    <t>94985K911</t>
  </si>
  <si>
    <t>Super Adhesive-back General Purpose Hook and Loop</t>
  </si>
  <si>
    <t>2" x 5 ft</t>
  </si>
  <si>
    <t>McMaster-Carr</t>
  </si>
  <si>
    <t>W39061/AZ39061</t>
  </si>
  <si>
    <t>W39281/AZ39281</t>
  </si>
  <si>
    <t>W39270/AZ39270</t>
  </si>
  <si>
    <t>W39071/AZ39071</t>
  </si>
  <si>
    <t>W39072/AZ39072</t>
  </si>
  <si>
    <t>W39073/AZ39073</t>
  </si>
  <si>
    <t>W39088/AZ39088</t>
  </si>
  <si>
    <t>W35871/AZ35871</t>
  </si>
  <si>
    <t>W39092/AZ39092</t>
  </si>
  <si>
    <t>W39165/Az39165</t>
  </si>
  <si>
    <t>W39173/AZ39173</t>
  </si>
  <si>
    <t>W39171/AZ39171</t>
  </si>
  <si>
    <t>W39169/Az39169</t>
  </si>
  <si>
    <t>W31903/AZ31903</t>
  </si>
  <si>
    <t>GPF0310</t>
  </si>
  <si>
    <t>Logitec F310 Gamepad</t>
  </si>
  <si>
    <t>Sensors</t>
  </si>
  <si>
    <t>45-2018</t>
  </si>
  <si>
    <t>Modern Robotics, Inc</t>
  </si>
  <si>
    <t>Order if we can program the Hi technic sensor.</t>
  </si>
  <si>
    <t>Order if we go with the color sensor.</t>
  </si>
  <si>
    <t>McCloud may be getting wire</t>
  </si>
  <si>
    <t>73095K48</t>
  </si>
  <si>
    <t>Heat-Shrink Tubing Assortments</t>
  </si>
  <si>
    <t>AM-2964</t>
  </si>
  <si>
    <t>Nev Rest 40 Motor</t>
  </si>
  <si>
    <t>40:1 Motor</t>
  </si>
  <si>
    <t>Gyro</t>
  </si>
  <si>
    <t>HiTechnic</t>
  </si>
  <si>
    <t>am-3211</t>
  </si>
  <si>
    <t>Bonded Wire</t>
  </si>
  <si>
    <t>18 Gauge 2 wire 20''</t>
  </si>
  <si>
    <t xml:space="preserve">20'', 18 </t>
  </si>
  <si>
    <t xml:space="preserve"> McMaster-Carr</t>
  </si>
  <si>
    <t>total</t>
  </si>
</sst>
</file>

<file path=xl/styles.xml><?xml version="1.0" encoding="utf-8"?>
<styleSheet xmlns="http://schemas.openxmlformats.org/spreadsheetml/2006/main">
  <numFmts count="2">
    <numFmt numFmtId="164" formatCode="[$$-409]#,##0.00;[Red]\-[$$-409]#,##0.00"/>
    <numFmt numFmtId="165" formatCode="0.0"/>
  </numFmts>
  <fonts count="3"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49" fontId="0" fillId="0" borderId="0" xfId="0" applyNumberFormat="1" applyAlignment="1">
      <alignment wrapText="1"/>
    </xf>
    <xf numFmtId="164" fontId="0" fillId="0" borderId="0" xfId="0" applyNumberFormat="1" applyFont="1"/>
    <xf numFmtId="0" fontId="0" fillId="0" borderId="0" xfId="0" applyFont="1"/>
    <xf numFmtId="49" fontId="0" fillId="0" borderId="0" xfId="0" applyNumberFormat="1" applyFont="1" applyAlignment="1">
      <alignment wrapText="1"/>
    </xf>
    <xf numFmtId="0" fontId="0" fillId="0" borderId="0" xfId="0" applyFont="1" applyAlignment="1">
      <alignment wrapText="1"/>
    </xf>
    <xf numFmtId="0" fontId="0" fillId="2" borderId="0" xfId="0" applyFill="1"/>
    <xf numFmtId="0" fontId="0" fillId="2" borderId="0" xfId="0" applyFont="1" applyFill="1"/>
    <xf numFmtId="0" fontId="0" fillId="3" borderId="0" xfId="0" applyFill="1"/>
    <xf numFmtId="0" fontId="0" fillId="3" borderId="0" xfId="0" applyFont="1" applyFill="1"/>
    <xf numFmtId="0" fontId="0" fillId="4" borderId="0" xfId="0" applyFill="1"/>
    <xf numFmtId="165" fontId="0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33"/>
  <sheetViews>
    <sheetView zoomScaleNormal="100" workbookViewId="0">
      <pane ySplit="765" activePane="bottomLeft"/>
      <selection activeCell="M3" sqref="M3"/>
      <selection pane="bottomLeft" activeCell="A46" sqref="A46:XFD56"/>
    </sheetView>
  </sheetViews>
  <sheetFormatPr defaultRowHeight="12.75"/>
  <cols>
    <col min="1" max="1" width="9.140625" style="4" customWidth="1"/>
    <col min="2" max="2" width="16" style="4" customWidth="1"/>
    <col min="3" max="3" width="28.28515625" style="4" customWidth="1"/>
    <col min="4" max="4" width="23.5703125" style="5" customWidth="1"/>
    <col min="5" max="5" width="7.42578125" style="12" customWidth="1"/>
    <col min="6" max="6" width="6" style="4" customWidth="1"/>
    <col min="7" max="7" width="16.140625" style="4" customWidth="1"/>
    <col min="8" max="8" width="8.85546875" style="3" customWidth="1"/>
    <col min="9" max="9" width="10.28515625" style="4" customWidth="1"/>
    <col min="10" max="10" width="8.85546875" style="4" customWidth="1"/>
    <col min="11" max="11" width="9.140625" style="3"/>
    <col min="12" max="16384" width="9.140625" style="4"/>
  </cols>
  <sheetData>
    <row r="1" spans="2:13">
      <c r="B1" s="4" t="s">
        <v>0</v>
      </c>
      <c r="C1" s="4" t="s">
        <v>54</v>
      </c>
      <c r="D1" s="5" t="s">
        <v>1</v>
      </c>
      <c r="E1" s="12" t="s">
        <v>2</v>
      </c>
      <c r="F1" s="4" t="s">
        <v>3</v>
      </c>
      <c r="G1" s="4" t="s">
        <v>4</v>
      </c>
      <c r="H1" s="3" t="s">
        <v>5</v>
      </c>
      <c r="I1" s="4" t="s">
        <v>6</v>
      </c>
      <c r="J1" s="4" t="s">
        <v>7</v>
      </c>
      <c r="K1" s="3" t="s">
        <v>8</v>
      </c>
    </row>
    <row r="3" spans="2:13" ht="25.5">
      <c r="B3" s="4" t="s">
        <v>162</v>
      </c>
      <c r="C3" s="4" t="s">
        <v>164</v>
      </c>
      <c r="D3" s="5" t="s">
        <v>165</v>
      </c>
      <c r="E3" s="12" t="s">
        <v>163</v>
      </c>
      <c r="G3" t="s">
        <v>228</v>
      </c>
      <c r="H3" s="3">
        <v>5</v>
      </c>
      <c r="I3" s="4">
        <v>1</v>
      </c>
      <c r="J3" s="4">
        <v>8</v>
      </c>
      <c r="K3" s="3">
        <f>H3*J3</f>
        <v>40</v>
      </c>
    </row>
    <row r="4" spans="2:13">
      <c r="B4" s="4" t="s">
        <v>272</v>
      </c>
      <c r="C4" s="4" t="s">
        <v>273</v>
      </c>
      <c r="D4" s="2" t="s">
        <v>274</v>
      </c>
      <c r="G4" t="s">
        <v>228</v>
      </c>
      <c r="H4" s="3">
        <v>25</v>
      </c>
      <c r="I4" s="4">
        <v>1</v>
      </c>
      <c r="J4" s="4">
        <v>4</v>
      </c>
      <c r="K4" s="3">
        <f>H4*J4</f>
        <v>100</v>
      </c>
    </row>
    <row r="5" spans="2:13">
      <c r="B5" t="s">
        <v>277</v>
      </c>
      <c r="C5" t="s">
        <v>278</v>
      </c>
      <c r="D5" s="2" t="s">
        <v>279</v>
      </c>
      <c r="E5" s="13" t="s">
        <v>280</v>
      </c>
      <c r="G5" s="4" t="s">
        <v>228</v>
      </c>
      <c r="H5" s="3">
        <v>7</v>
      </c>
      <c r="I5" s="4">
        <v>25</v>
      </c>
      <c r="J5" s="4">
        <v>1</v>
      </c>
      <c r="K5" s="3">
        <f>H5*J5</f>
        <v>7</v>
      </c>
    </row>
    <row r="6" spans="2:13">
      <c r="B6" t="s">
        <v>229</v>
      </c>
      <c r="C6" t="s">
        <v>227</v>
      </c>
      <c r="D6" s="2" t="s">
        <v>230</v>
      </c>
      <c r="E6" s="13" t="s">
        <v>231</v>
      </c>
      <c r="G6" s="4" t="s">
        <v>228</v>
      </c>
      <c r="H6" s="3">
        <v>20</v>
      </c>
      <c r="I6" s="4">
        <v>1</v>
      </c>
      <c r="J6" s="4">
        <v>2</v>
      </c>
      <c r="K6" s="3">
        <f>H6*J6</f>
        <v>40</v>
      </c>
    </row>
    <row r="7" spans="2:13">
      <c r="B7"/>
      <c r="C7" s="4" t="s">
        <v>275</v>
      </c>
      <c r="G7" t="s">
        <v>276</v>
      </c>
      <c r="J7" s="8"/>
    </row>
    <row r="8" spans="2:13">
      <c r="B8" t="s">
        <v>208</v>
      </c>
      <c r="C8" t="s">
        <v>201</v>
      </c>
      <c r="D8" s="2" t="s">
        <v>202</v>
      </c>
      <c r="E8" s="13" t="s">
        <v>209</v>
      </c>
      <c r="G8" t="s">
        <v>281</v>
      </c>
      <c r="H8" s="3">
        <v>25.52</v>
      </c>
      <c r="I8" s="4">
        <v>1</v>
      </c>
      <c r="J8" s="4">
        <v>1</v>
      </c>
      <c r="K8" s="3">
        <f>H8*J8</f>
        <v>25.52</v>
      </c>
    </row>
    <row r="9" spans="2:13" hidden="1">
      <c r="B9" t="s">
        <v>221</v>
      </c>
      <c r="C9" t="s">
        <v>222</v>
      </c>
      <c r="D9" s="2" t="s">
        <v>223</v>
      </c>
      <c r="E9" s="13" t="s">
        <v>224</v>
      </c>
      <c r="G9" s="4" t="s">
        <v>43</v>
      </c>
      <c r="H9" s="3">
        <v>15.5</v>
      </c>
      <c r="I9" s="4">
        <v>1</v>
      </c>
      <c r="J9" s="10">
        <v>0</v>
      </c>
      <c r="K9" s="3">
        <f>H9*J9</f>
        <v>0</v>
      </c>
      <c r="M9" t="s">
        <v>269</v>
      </c>
    </row>
    <row r="10" spans="2:13" hidden="1">
      <c r="B10" t="s">
        <v>270</v>
      </c>
      <c r="C10" t="s">
        <v>271</v>
      </c>
      <c r="D10" s="2"/>
      <c r="E10" s="13"/>
      <c r="G10" t="s">
        <v>43</v>
      </c>
      <c r="H10" s="3">
        <v>27.12</v>
      </c>
      <c r="I10" s="4">
        <v>1</v>
      </c>
      <c r="J10" s="10">
        <v>0</v>
      </c>
      <c r="K10" s="3">
        <f>H10*J10</f>
        <v>0</v>
      </c>
      <c r="M10"/>
    </row>
    <row r="11" spans="2:13" hidden="1">
      <c r="B11" t="s">
        <v>265</v>
      </c>
      <c r="C11" s="4" t="s">
        <v>211</v>
      </c>
      <c r="G11" t="s">
        <v>266</v>
      </c>
      <c r="H11" s="3">
        <v>36.950000000000003</v>
      </c>
      <c r="I11" s="4">
        <v>1</v>
      </c>
      <c r="J11" s="10">
        <v>0</v>
      </c>
      <c r="K11" s="3">
        <f>H11*J11</f>
        <v>0</v>
      </c>
      <c r="M11" t="s">
        <v>267</v>
      </c>
    </row>
    <row r="12" spans="2:13" hidden="1">
      <c r="B12" s="4" t="s">
        <v>139</v>
      </c>
      <c r="C12" s="4" t="s">
        <v>74</v>
      </c>
      <c r="D12" s="5" t="s">
        <v>75</v>
      </c>
      <c r="G12" s="4" t="s">
        <v>18</v>
      </c>
      <c r="H12" s="3">
        <v>4.95</v>
      </c>
      <c r="I12" s="4">
        <v>2</v>
      </c>
      <c r="J12" s="4">
        <v>0</v>
      </c>
      <c r="K12" s="3">
        <f>H12*J12</f>
        <v>0</v>
      </c>
    </row>
    <row r="13" spans="2:13" hidden="1">
      <c r="B13" t="s">
        <v>233</v>
      </c>
      <c r="C13" s="4" t="s">
        <v>232</v>
      </c>
      <c r="G13" t="s">
        <v>234</v>
      </c>
      <c r="H13" s="3">
        <v>67.95</v>
      </c>
      <c r="I13" s="4">
        <v>1</v>
      </c>
      <c r="J13" s="10">
        <v>0</v>
      </c>
      <c r="K13" s="3">
        <f>H13*J13</f>
        <v>0</v>
      </c>
      <c r="M13" t="s">
        <v>268</v>
      </c>
    </row>
    <row r="14" spans="2:13">
      <c r="B14" t="s">
        <v>262</v>
      </c>
      <c r="C14" s="4" t="s">
        <v>263</v>
      </c>
      <c r="G14" t="s">
        <v>234</v>
      </c>
      <c r="H14" s="3">
        <v>24.95</v>
      </c>
      <c r="I14" s="4">
        <v>1</v>
      </c>
      <c r="J14" s="8">
        <v>1</v>
      </c>
      <c r="K14" s="3">
        <f>H14*J14</f>
        <v>24.95</v>
      </c>
    </row>
    <row r="15" spans="2:13">
      <c r="B15" t="s">
        <v>216</v>
      </c>
      <c r="C15" t="s">
        <v>217</v>
      </c>
      <c r="D15" s="2"/>
      <c r="E15" s="13"/>
      <c r="G15" s="4" t="s">
        <v>218</v>
      </c>
      <c r="H15" s="3">
        <v>99.95</v>
      </c>
      <c r="I15" s="4">
        <v>1</v>
      </c>
      <c r="J15" s="4">
        <v>1</v>
      </c>
      <c r="K15" s="3">
        <f>H15*J15</f>
        <v>99.95</v>
      </c>
    </row>
    <row r="16" spans="2:13">
      <c r="B16" t="s">
        <v>219</v>
      </c>
      <c r="C16" t="s">
        <v>220</v>
      </c>
      <c r="D16" s="2"/>
      <c r="E16" s="13"/>
      <c r="G16" s="4" t="s">
        <v>218</v>
      </c>
      <c r="H16" s="3">
        <v>17.95</v>
      </c>
      <c r="I16" s="4">
        <v>1</v>
      </c>
      <c r="J16" s="4">
        <v>1</v>
      </c>
      <c r="K16" s="3">
        <f>H16*J16</f>
        <v>17.95</v>
      </c>
    </row>
    <row r="17" spans="1:13" hidden="1">
      <c r="B17" t="s">
        <v>235</v>
      </c>
      <c r="C17" s="4" t="s">
        <v>84</v>
      </c>
      <c r="D17" s="5" t="s">
        <v>85</v>
      </c>
      <c r="E17" s="13">
        <f>416/25.4</f>
        <v>16.377952755905511</v>
      </c>
      <c r="G17" s="4" t="s">
        <v>18</v>
      </c>
      <c r="H17" s="3">
        <v>17.95</v>
      </c>
      <c r="I17" s="4">
        <v>1</v>
      </c>
      <c r="J17" s="4">
        <v>0</v>
      </c>
      <c r="K17" s="3">
        <f>H17*J17</f>
        <v>0</v>
      </c>
    </row>
    <row r="18" spans="1:13">
      <c r="B18" t="s">
        <v>236</v>
      </c>
      <c r="C18" s="4" t="s">
        <v>82</v>
      </c>
      <c r="D18" s="5" t="s">
        <v>83</v>
      </c>
      <c r="E18" s="13">
        <f>288/25.4</f>
        <v>11.338582677165356</v>
      </c>
      <c r="G18" s="4" t="s">
        <v>18</v>
      </c>
      <c r="H18" s="3">
        <v>27.95</v>
      </c>
      <c r="I18" s="4">
        <v>2</v>
      </c>
      <c r="J18" s="4">
        <v>1</v>
      </c>
      <c r="K18" s="3">
        <f>H18*J18</f>
        <v>27.95</v>
      </c>
    </row>
    <row r="19" spans="1:13">
      <c r="B19" t="s">
        <v>237</v>
      </c>
      <c r="C19" s="4" t="s">
        <v>80</v>
      </c>
      <c r="D19" s="5" t="s">
        <v>81</v>
      </c>
      <c r="E19" s="13">
        <f>160/25.4</f>
        <v>6.2992125984251972</v>
      </c>
      <c r="G19" s="4" t="s">
        <v>18</v>
      </c>
      <c r="H19" s="3">
        <v>16.95</v>
      </c>
      <c r="I19" s="4">
        <v>2</v>
      </c>
      <c r="J19" s="4">
        <v>1</v>
      </c>
      <c r="K19" s="3">
        <f>H19*J19</f>
        <v>16.95</v>
      </c>
    </row>
    <row r="20" spans="1:13">
      <c r="B20" t="s">
        <v>238</v>
      </c>
      <c r="C20" s="4" t="s">
        <v>78</v>
      </c>
      <c r="D20" s="5" t="s">
        <v>79</v>
      </c>
      <c r="E20" s="13">
        <f>96/25.4</f>
        <v>3.7795275590551185</v>
      </c>
      <c r="G20" s="4" t="s">
        <v>18</v>
      </c>
      <c r="H20" s="3">
        <v>11.95</v>
      </c>
      <c r="I20" s="4">
        <v>2</v>
      </c>
      <c r="J20" s="4">
        <v>3</v>
      </c>
      <c r="K20" s="3">
        <f>H20*J20</f>
        <v>35.849999999999994</v>
      </c>
    </row>
    <row r="21" spans="1:13">
      <c r="B21" t="s">
        <v>239</v>
      </c>
      <c r="C21" s="4" t="s">
        <v>76</v>
      </c>
      <c r="D21" s="5" t="s">
        <v>77</v>
      </c>
      <c r="E21" s="13">
        <f>32/25.4</f>
        <v>1.2598425196850394</v>
      </c>
      <c r="G21" s="4" t="s">
        <v>18</v>
      </c>
      <c r="H21" s="3">
        <v>9.9499999999999993</v>
      </c>
      <c r="I21" s="4">
        <v>2</v>
      </c>
      <c r="J21" s="4">
        <v>2</v>
      </c>
      <c r="K21" s="3">
        <f>H21*J21</f>
        <v>19.899999999999999</v>
      </c>
    </row>
    <row r="22" spans="1:13">
      <c r="B22" t="s">
        <v>248</v>
      </c>
      <c r="C22" s="4" t="s">
        <v>72</v>
      </c>
      <c r="D22" s="5" t="s">
        <v>73</v>
      </c>
      <c r="G22" s="4" t="s">
        <v>18</v>
      </c>
      <c r="H22" s="3">
        <v>5.95</v>
      </c>
      <c r="I22" s="4">
        <v>2</v>
      </c>
      <c r="J22" s="4">
        <v>4</v>
      </c>
      <c r="K22" s="3">
        <f>H22*J22</f>
        <v>23.8</v>
      </c>
    </row>
    <row r="23" spans="1:13">
      <c r="B23" t="s">
        <v>249</v>
      </c>
      <c r="D23" s="5" t="s">
        <v>10</v>
      </c>
      <c r="G23" s="4" t="s">
        <v>9</v>
      </c>
      <c r="H23" s="3">
        <v>4.95</v>
      </c>
      <c r="I23" s="4">
        <v>2</v>
      </c>
      <c r="J23" s="4">
        <v>3</v>
      </c>
      <c r="K23" s="3">
        <f>H23*J23</f>
        <v>14.850000000000001</v>
      </c>
    </row>
    <row r="24" spans="1:13">
      <c r="B24" t="s">
        <v>250</v>
      </c>
      <c r="C24" s="4" t="s">
        <v>122</v>
      </c>
      <c r="D24" s="5" t="s">
        <v>128</v>
      </c>
      <c r="G24" s="4" t="s">
        <v>18</v>
      </c>
      <c r="H24" s="3">
        <v>4.95</v>
      </c>
      <c r="I24" s="4">
        <v>2</v>
      </c>
      <c r="J24" s="4">
        <v>4</v>
      </c>
      <c r="K24" s="3">
        <f>H24*J24</f>
        <v>19.8</v>
      </c>
    </row>
    <row r="25" spans="1:13">
      <c r="B25" t="s">
        <v>251</v>
      </c>
      <c r="C25" s="4" t="s">
        <v>86</v>
      </c>
      <c r="D25" s="5" t="s">
        <v>87</v>
      </c>
      <c r="G25" s="4" t="s">
        <v>18</v>
      </c>
      <c r="H25" s="3">
        <v>13.95</v>
      </c>
      <c r="I25" s="4">
        <v>2</v>
      </c>
      <c r="J25" s="4">
        <v>2</v>
      </c>
      <c r="K25" s="3">
        <f>H25*J25</f>
        <v>27.9</v>
      </c>
    </row>
    <row r="26" spans="1:13" hidden="1">
      <c r="B26" s="4" t="s">
        <v>25</v>
      </c>
      <c r="D26" s="5" t="s">
        <v>26</v>
      </c>
      <c r="E26" s="12" t="s">
        <v>27</v>
      </c>
      <c r="G26" s="4" t="s">
        <v>18</v>
      </c>
      <c r="H26" s="3">
        <v>6.95</v>
      </c>
      <c r="I26" s="4">
        <v>2</v>
      </c>
      <c r="J26" s="4">
        <v>0</v>
      </c>
      <c r="K26" s="3">
        <f>H26*J26</f>
        <v>0</v>
      </c>
    </row>
    <row r="27" spans="1:13" customFormat="1">
      <c r="A27" s="4"/>
      <c r="B27" t="s">
        <v>252</v>
      </c>
      <c r="C27" s="4" t="s">
        <v>88</v>
      </c>
      <c r="D27" s="5" t="s">
        <v>89</v>
      </c>
      <c r="E27" s="12"/>
      <c r="F27" s="4"/>
      <c r="G27" s="4" t="s">
        <v>18</v>
      </c>
      <c r="H27" s="3">
        <v>10.95</v>
      </c>
      <c r="I27" s="4">
        <v>2</v>
      </c>
      <c r="J27" s="4">
        <v>2</v>
      </c>
      <c r="K27" s="3">
        <f>H27*J27</f>
        <v>21.9</v>
      </c>
      <c r="L27" s="4"/>
      <c r="M27" s="4"/>
    </row>
    <row r="28" spans="1:13">
      <c r="B28" t="s">
        <v>253</v>
      </c>
      <c r="C28" s="4" t="s">
        <v>90</v>
      </c>
      <c r="D28" s="5" t="s">
        <v>184</v>
      </c>
      <c r="G28" s="4" t="s">
        <v>18</v>
      </c>
      <c r="H28" s="3">
        <v>12.95</v>
      </c>
      <c r="I28" s="4">
        <v>2</v>
      </c>
      <c r="J28" s="4">
        <v>1</v>
      </c>
      <c r="K28" s="3">
        <f>H28*J28</f>
        <v>12.95</v>
      </c>
    </row>
    <row r="29" spans="1:13" hidden="1">
      <c r="B29" s="4" t="s">
        <v>146</v>
      </c>
      <c r="C29" s="4" t="s">
        <v>111</v>
      </c>
      <c r="D29" s="5" t="s">
        <v>112</v>
      </c>
      <c r="G29" s="4" t="s">
        <v>18</v>
      </c>
      <c r="H29" s="3">
        <v>1.95</v>
      </c>
      <c r="I29" s="4">
        <v>12</v>
      </c>
      <c r="J29" s="4">
        <v>0</v>
      </c>
      <c r="K29" s="3">
        <f>H29*J29</f>
        <v>0</v>
      </c>
    </row>
    <row r="30" spans="1:13" hidden="1">
      <c r="B30" s="4" t="s">
        <v>147</v>
      </c>
      <c r="C30" s="4" t="s">
        <v>113</v>
      </c>
      <c r="D30" s="5" t="s">
        <v>114</v>
      </c>
      <c r="G30" s="4" t="s">
        <v>18</v>
      </c>
      <c r="H30" s="3">
        <v>0.95</v>
      </c>
      <c r="I30" s="4">
        <v>6</v>
      </c>
      <c r="J30" s="4">
        <v>0</v>
      </c>
      <c r="K30" s="3">
        <f>H30*J30</f>
        <v>0</v>
      </c>
    </row>
    <row r="31" spans="1:13">
      <c r="B31" t="s">
        <v>254</v>
      </c>
      <c r="D31" s="5" t="s">
        <v>27</v>
      </c>
      <c r="E31" s="12" t="s">
        <v>28</v>
      </c>
      <c r="G31" s="4" t="s">
        <v>18</v>
      </c>
      <c r="H31" s="3">
        <v>15.95</v>
      </c>
      <c r="I31" s="4">
        <v>6</v>
      </c>
      <c r="J31" s="4">
        <v>1</v>
      </c>
      <c r="K31" s="3">
        <f>H31*J31</f>
        <v>15.95</v>
      </c>
    </row>
    <row r="32" spans="1:13" ht="14.25" customHeight="1">
      <c r="B32" t="s">
        <v>255</v>
      </c>
      <c r="D32" s="5" t="s">
        <v>27</v>
      </c>
      <c r="E32" s="12" t="s">
        <v>29</v>
      </c>
      <c r="G32" s="4" t="s">
        <v>18</v>
      </c>
      <c r="H32" s="3">
        <v>15.95</v>
      </c>
      <c r="I32" s="4">
        <v>3</v>
      </c>
      <c r="J32" s="4">
        <v>1</v>
      </c>
      <c r="K32" s="3">
        <f>H32*J32</f>
        <v>15.95</v>
      </c>
    </row>
    <row r="33" spans="2:13" hidden="1">
      <c r="B33" t="s">
        <v>258</v>
      </c>
      <c r="D33" s="5" t="s">
        <v>31</v>
      </c>
      <c r="G33" s="4" t="s">
        <v>18</v>
      </c>
      <c r="H33" s="3">
        <v>13.95</v>
      </c>
      <c r="I33" s="4" t="s">
        <v>32</v>
      </c>
      <c r="J33" s="4">
        <v>0</v>
      </c>
      <c r="K33" s="3">
        <f>H33*J33</f>
        <v>0</v>
      </c>
    </row>
    <row r="34" spans="2:13" hidden="1">
      <c r="B34" t="s">
        <v>259</v>
      </c>
      <c r="C34" s="4" t="s">
        <v>177</v>
      </c>
      <c r="D34" s="5" t="s">
        <v>178</v>
      </c>
      <c r="E34" s="12">
        <v>32</v>
      </c>
      <c r="G34" s="4" t="s">
        <v>18</v>
      </c>
      <c r="H34" s="3">
        <v>29.95</v>
      </c>
      <c r="I34" s="4">
        <v>2</v>
      </c>
      <c r="J34" s="4">
        <v>0</v>
      </c>
      <c r="K34" s="3">
        <f>H34*J34</f>
        <v>0</v>
      </c>
    </row>
    <row r="35" spans="2:13" hidden="1">
      <c r="B35" t="s">
        <v>260</v>
      </c>
      <c r="C35" s="4" t="s">
        <v>179</v>
      </c>
      <c r="D35" s="5" t="s">
        <v>178</v>
      </c>
      <c r="E35" s="12">
        <v>24</v>
      </c>
      <c r="G35" s="4" t="s">
        <v>18</v>
      </c>
      <c r="H35" s="3">
        <v>22.95</v>
      </c>
      <c r="I35" s="4">
        <v>2</v>
      </c>
      <c r="J35" s="10">
        <v>0</v>
      </c>
      <c r="K35" s="3">
        <f>H35*J35</f>
        <v>0</v>
      </c>
    </row>
    <row r="36" spans="2:13" hidden="1">
      <c r="B36" t="s">
        <v>257</v>
      </c>
      <c r="C36" s="4" t="s">
        <v>180</v>
      </c>
      <c r="D36" s="5" t="s">
        <v>178</v>
      </c>
      <c r="E36" s="12">
        <v>16</v>
      </c>
      <c r="G36" s="4" t="s">
        <v>18</v>
      </c>
      <c r="H36" s="3">
        <v>16.95</v>
      </c>
      <c r="I36" s="4">
        <v>2</v>
      </c>
      <c r="J36" s="10">
        <v>0</v>
      </c>
      <c r="K36" s="3">
        <f>H36*J36</f>
        <v>0</v>
      </c>
    </row>
    <row r="37" spans="2:13">
      <c r="B37" t="s">
        <v>152</v>
      </c>
      <c r="C37" t="s">
        <v>121</v>
      </c>
      <c r="D37" s="2" t="s">
        <v>125</v>
      </c>
      <c r="E37" s="13"/>
      <c r="F37"/>
      <c r="G37" t="s">
        <v>18</v>
      </c>
      <c r="H37" s="1">
        <v>6.95</v>
      </c>
      <c r="I37">
        <v>2</v>
      </c>
      <c r="J37">
        <v>4</v>
      </c>
      <c r="K37" s="1">
        <f>H37*J37</f>
        <v>27.8</v>
      </c>
      <c r="L37" s="7"/>
      <c r="M37"/>
    </row>
    <row r="38" spans="2:13">
      <c r="B38" t="s">
        <v>256</v>
      </c>
      <c r="C38" s="4" t="s">
        <v>103</v>
      </c>
      <c r="D38" s="5" t="s">
        <v>104</v>
      </c>
      <c r="G38" s="4" t="s">
        <v>18</v>
      </c>
      <c r="H38" s="3">
        <v>3.95</v>
      </c>
      <c r="I38" s="4">
        <v>6</v>
      </c>
      <c r="J38" s="4">
        <v>2</v>
      </c>
      <c r="K38" s="3">
        <f>H38*J38</f>
        <v>7.9</v>
      </c>
    </row>
    <row r="39" spans="2:13">
      <c r="B39" t="s">
        <v>240</v>
      </c>
      <c r="C39" s="4" t="s">
        <v>55</v>
      </c>
      <c r="D39" s="5" t="s">
        <v>56</v>
      </c>
      <c r="G39" s="4" t="s">
        <v>18</v>
      </c>
      <c r="H39" s="3">
        <v>27.95</v>
      </c>
      <c r="I39" s="4">
        <v>2</v>
      </c>
      <c r="J39" s="4">
        <v>1</v>
      </c>
      <c r="K39" s="3">
        <f>H39*J39</f>
        <v>27.95</v>
      </c>
    </row>
    <row r="40" spans="2:13" hidden="1">
      <c r="B40" s="4" t="s">
        <v>141</v>
      </c>
      <c r="C40" s="4" t="s">
        <v>95</v>
      </c>
      <c r="D40" s="5" t="s">
        <v>96</v>
      </c>
      <c r="G40" s="4" t="s">
        <v>18</v>
      </c>
      <c r="H40" s="3">
        <v>17.95</v>
      </c>
      <c r="I40" s="4">
        <v>1</v>
      </c>
      <c r="J40" s="4">
        <v>0</v>
      </c>
      <c r="K40" s="3">
        <f>H40*J40</f>
        <v>0</v>
      </c>
    </row>
    <row r="41" spans="2:13" hidden="1">
      <c r="B41" s="4" t="s">
        <v>134</v>
      </c>
      <c r="C41" s="4" t="s">
        <v>64</v>
      </c>
      <c r="D41" s="5" t="s">
        <v>65</v>
      </c>
      <c r="G41" s="4" t="s">
        <v>18</v>
      </c>
      <c r="H41" s="3">
        <v>22.95</v>
      </c>
      <c r="I41" s="4">
        <v>2</v>
      </c>
      <c r="J41" s="4">
        <v>0</v>
      </c>
      <c r="K41" s="3">
        <f>H41*J41</f>
        <v>0</v>
      </c>
    </row>
    <row r="42" spans="2:13">
      <c r="B42" t="s">
        <v>241</v>
      </c>
      <c r="C42" s="4" t="s">
        <v>99</v>
      </c>
      <c r="D42" s="5" t="s">
        <v>100</v>
      </c>
      <c r="G42" s="4" t="s">
        <v>18</v>
      </c>
      <c r="H42" s="3">
        <v>6.95</v>
      </c>
      <c r="I42" s="4">
        <v>2</v>
      </c>
      <c r="J42" s="4">
        <v>4</v>
      </c>
      <c r="K42" s="3">
        <f>H42*J42</f>
        <v>27.8</v>
      </c>
    </row>
    <row r="43" spans="2:13" hidden="1">
      <c r="B43" s="4" t="s">
        <v>172</v>
      </c>
      <c r="C43" s="4" t="s">
        <v>173</v>
      </c>
      <c r="G43" s="4" t="s">
        <v>18</v>
      </c>
      <c r="H43" s="3">
        <v>29.95</v>
      </c>
      <c r="I43" s="4">
        <v>1</v>
      </c>
      <c r="J43" s="4">
        <v>0</v>
      </c>
      <c r="K43" s="3">
        <f>H43*J43</f>
        <v>0</v>
      </c>
    </row>
    <row r="44" spans="2:13" hidden="1">
      <c r="B44" s="4" t="s">
        <v>174</v>
      </c>
      <c r="C44" s="4" t="s">
        <v>175</v>
      </c>
      <c r="D44" s="5" t="s">
        <v>176</v>
      </c>
      <c r="G44" s="4" t="s">
        <v>18</v>
      </c>
      <c r="H44" s="3">
        <v>34.950000000000003</v>
      </c>
      <c r="I44" s="4">
        <v>1</v>
      </c>
      <c r="J44" s="4">
        <v>0</v>
      </c>
      <c r="K44" s="3">
        <f>H44*J44</f>
        <v>0</v>
      </c>
    </row>
    <row r="45" spans="2:13" ht="25.5">
      <c r="B45" s="4" t="s">
        <v>138</v>
      </c>
      <c r="C45" s="4" t="s">
        <v>70</v>
      </c>
      <c r="D45" s="5" t="s">
        <v>71</v>
      </c>
      <c r="G45" s="4" t="s">
        <v>18</v>
      </c>
      <c r="H45" s="3">
        <v>9.9499999999999993</v>
      </c>
      <c r="I45" s="4">
        <v>2</v>
      </c>
      <c r="J45" s="4">
        <v>1</v>
      </c>
      <c r="K45" s="3">
        <f>H45*J45</f>
        <v>9.9499999999999993</v>
      </c>
    </row>
    <row r="46" spans="2:13" hidden="1">
      <c r="B46" s="4" t="s">
        <v>129</v>
      </c>
      <c r="C46" s="4" t="s">
        <v>51</v>
      </c>
      <c r="G46" s="4" t="s">
        <v>18</v>
      </c>
      <c r="H46" s="3">
        <v>89.95</v>
      </c>
      <c r="I46" s="4">
        <v>1</v>
      </c>
      <c r="J46" s="4">
        <v>0</v>
      </c>
      <c r="K46" s="3">
        <f>H46*J46</f>
        <v>0</v>
      </c>
      <c r="M46" s="4" t="s">
        <v>166</v>
      </c>
    </row>
    <row r="47" spans="2:13" hidden="1">
      <c r="B47" s="4" t="s">
        <v>158</v>
      </c>
      <c r="C47" s="4" t="s">
        <v>157</v>
      </c>
      <c r="D47" s="5" t="s">
        <v>159</v>
      </c>
      <c r="E47" s="12" t="s">
        <v>161</v>
      </c>
      <c r="G47" s="4" t="s">
        <v>160</v>
      </c>
      <c r="H47" s="3">
        <v>25</v>
      </c>
      <c r="I47" s="4">
        <v>1</v>
      </c>
      <c r="J47" s="4">
        <v>0</v>
      </c>
      <c r="K47" s="3">
        <f>H47*J47</f>
        <v>0</v>
      </c>
    </row>
    <row r="48" spans="2:13" hidden="1">
      <c r="B48" s="4" t="s">
        <v>140</v>
      </c>
      <c r="C48" s="4" t="s">
        <v>93</v>
      </c>
      <c r="D48" s="5" t="s">
        <v>94</v>
      </c>
      <c r="G48" s="4" t="s">
        <v>18</v>
      </c>
      <c r="H48" s="3">
        <v>24.95</v>
      </c>
      <c r="I48" s="4">
        <v>1</v>
      </c>
      <c r="J48" s="4">
        <v>0</v>
      </c>
      <c r="K48" s="3">
        <f>H48*J48</f>
        <v>0</v>
      </c>
      <c r="L48" s="4" t="s">
        <v>170</v>
      </c>
      <c r="M48" s="4" t="s">
        <v>169</v>
      </c>
    </row>
    <row r="49" spans="1:13" hidden="1">
      <c r="B49" s="3" t="s">
        <v>30</v>
      </c>
      <c r="C49" s="4" t="s">
        <v>91</v>
      </c>
      <c r="D49" s="5" t="s">
        <v>92</v>
      </c>
      <c r="G49" s="4" t="s">
        <v>18</v>
      </c>
      <c r="H49" s="3">
        <v>5.95</v>
      </c>
      <c r="I49" s="4">
        <v>2</v>
      </c>
      <c r="J49" s="4">
        <v>0</v>
      </c>
      <c r="K49" s="3">
        <f>H49*J49</f>
        <v>0</v>
      </c>
    </row>
    <row r="50" spans="1:13" hidden="1">
      <c r="B50" s="4" t="s">
        <v>38</v>
      </c>
      <c r="D50" s="5" t="s">
        <v>39</v>
      </c>
      <c r="G50" s="4" t="s">
        <v>18</v>
      </c>
      <c r="H50" s="3">
        <v>15.95</v>
      </c>
      <c r="I50" s="4">
        <v>1</v>
      </c>
      <c r="J50" s="4">
        <v>0</v>
      </c>
      <c r="K50" s="3">
        <f>H50*J50</f>
        <v>0</v>
      </c>
    </row>
    <row r="51" spans="1:13" ht="12" hidden="1" customHeight="1">
      <c r="B51" s="4" t="s">
        <v>142</v>
      </c>
      <c r="C51" s="4" t="s">
        <v>97</v>
      </c>
      <c r="D51" s="5" t="s">
        <v>98</v>
      </c>
      <c r="G51" s="4" t="s">
        <v>18</v>
      </c>
      <c r="H51" s="3">
        <v>15.95</v>
      </c>
      <c r="I51" s="4">
        <v>1</v>
      </c>
      <c r="J51" s="4">
        <v>0</v>
      </c>
      <c r="K51" s="3">
        <f>H51*J51</f>
        <v>0</v>
      </c>
      <c r="M51" s="4" t="s">
        <v>171</v>
      </c>
    </row>
    <row r="52" spans="1:13" hidden="1">
      <c r="B52" s="4" t="s">
        <v>155</v>
      </c>
      <c r="C52" s="4" t="s">
        <v>154</v>
      </c>
      <c r="D52" s="5" t="s">
        <v>153</v>
      </c>
      <c r="G52" s="4" t="s">
        <v>18</v>
      </c>
      <c r="H52" s="3">
        <v>15.95</v>
      </c>
      <c r="I52" s="4">
        <v>1</v>
      </c>
      <c r="J52" s="4">
        <v>0</v>
      </c>
      <c r="K52" s="3">
        <f>H52*J52</f>
        <v>0</v>
      </c>
    </row>
    <row r="53" spans="1:13" hidden="1">
      <c r="C53" s="4" t="s">
        <v>121</v>
      </c>
      <c r="D53" s="5" t="s">
        <v>126</v>
      </c>
      <c r="G53" s="4" t="s">
        <v>18</v>
      </c>
      <c r="J53" s="4">
        <v>0</v>
      </c>
      <c r="K53" s="3">
        <f>H53*J53</f>
        <v>0</v>
      </c>
    </row>
    <row r="54" spans="1:13" hidden="1">
      <c r="B54" t="s">
        <v>261</v>
      </c>
      <c r="D54" s="5" t="s">
        <v>40</v>
      </c>
      <c r="G54" s="4" t="s">
        <v>18</v>
      </c>
      <c r="H54" s="3">
        <v>1.95</v>
      </c>
      <c r="I54" s="4">
        <v>1</v>
      </c>
      <c r="J54" s="4">
        <v>0</v>
      </c>
      <c r="K54" s="3">
        <f>H54*J54</f>
        <v>0</v>
      </c>
    </row>
    <row r="55" spans="1:13" hidden="1">
      <c r="B55" s="4" t="s">
        <v>131</v>
      </c>
      <c r="C55" s="4" t="s">
        <v>57</v>
      </c>
      <c r="D55" s="5" t="s">
        <v>58</v>
      </c>
      <c r="G55" s="4" t="s">
        <v>18</v>
      </c>
      <c r="H55" s="3">
        <v>1.95</v>
      </c>
      <c r="I55" s="4">
        <v>1</v>
      </c>
      <c r="J55" s="4">
        <v>0</v>
      </c>
      <c r="K55" s="3">
        <f>H55*J55</f>
        <v>0</v>
      </c>
    </row>
    <row r="56" spans="1:13" hidden="1">
      <c r="B56" s="4" t="s">
        <v>130</v>
      </c>
      <c r="C56" s="4" t="s">
        <v>53</v>
      </c>
      <c r="G56" s="4" t="s">
        <v>18</v>
      </c>
      <c r="H56" s="3">
        <v>79.95</v>
      </c>
      <c r="I56" s="4">
        <v>1</v>
      </c>
      <c r="J56" s="4">
        <v>0</v>
      </c>
      <c r="K56" s="3">
        <f>H56*J56</f>
        <v>0</v>
      </c>
    </row>
    <row r="57" spans="1:13" hidden="1">
      <c r="B57" s="4" t="s">
        <v>156</v>
      </c>
      <c r="C57" s="4" t="s">
        <v>60</v>
      </c>
      <c r="D57" s="5" t="s">
        <v>61</v>
      </c>
      <c r="G57" s="4" t="s">
        <v>18</v>
      </c>
      <c r="H57" s="3">
        <v>79.95</v>
      </c>
      <c r="I57" s="4">
        <v>1</v>
      </c>
      <c r="J57" s="4">
        <v>0</v>
      </c>
      <c r="K57" s="3">
        <f>H57*J57</f>
        <v>0</v>
      </c>
    </row>
    <row r="58" spans="1:13">
      <c r="B58" s="4" t="s">
        <v>206</v>
      </c>
      <c r="D58" s="2" t="s">
        <v>34</v>
      </c>
      <c r="E58" s="13" t="s">
        <v>207</v>
      </c>
      <c r="G58" s="4" t="s">
        <v>18</v>
      </c>
      <c r="H58" s="3">
        <v>0.95</v>
      </c>
      <c r="I58" t="s">
        <v>35</v>
      </c>
      <c r="J58" s="4">
        <v>2</v>
      </c>
      <c r="K58" s="3">
        <f>H58*J58</f>
        <v>1.9</v>
      </c>
    </row>
    <row r="59" spans="1:13" ht="16.5" customHeight="1">
      <c r="B59" s="4" t="s">
        <v>148</v>
      </c>
      <c r="C59" s="6" t="s">
        <v>115</v>
      </c>
      <c r="D59" s="5" t="s">
        <v>116</v>
      </c>
      <c r="G59" s="4" t="s">
        <v>18</v>
      </c>
      <c r="H59" s="3">
        <v>3.95</v>
      </c>
      <c r="I59" s="4">
        <v>12</v>
      </c>
      <c r="J59" s="4">
        <v>1</v>
      </c>
      <c r="K59" s="3">
        <f>H59*J59</f>
        <v>3.95</v>
      </c>
    </row>
    <row r="60" spans="1:13" hidden="1">
      <c r="B60" s="4" t="s">
        <v>23</v>
      </c>
      <c r="D60" s="5" t="s">
        <v>24</v>
      </c>
      <c r="G60" s="4" t="s">
        <v>18</v>
      </c>
      <c r="H60" s="3">
        <v>24.95</v>
      </c>
      <c r="I60" s="4">
        <v>1</v>
      </c>
      <c r="J60" s="4">
        <v>0</v>
      </c>
      <c r="K60" s="3">
        <f>H60*J60</f>
        <v>0</v>
      </c>
    </row>
    <row r="61" spans="1:13">
      <c r="B61" s="4" t="s">
        <v>149</v>
      </c>
      <c r="C61" s="4" t="s">
        <v>117</v>
      </c>
      <c r="D61" s="5" t="s">
        <v>118</v>
      </c>
      <c r="G61" s="4" t="s">
        <v>18</v>
      </c>
      <c r="H61" s="3">
        <v>4.95</v>
      </c>
      <c r="I61" s="4">
        <v>12</v>
      </c>
      <c r="J61" s="4">
        <v>1</v>
      </c>
      <c r="K61" s="3">
        <f>H61*J61</f>
        <v>4.95</v>
      </c>
    </row>
    <row r="62" spans="1:13" ht="25.5" hidden="1">
      <c r="B62" s="4" t="s">
        <v>23</v>
      </c>
      <c r="C62" s="4" t="s">
        <v>121</v>
      </c>
      <c r="D62" s="5" t="s">
        <v>127</v>
      </c>
      <c r="G62" s="4" t="s">
        <v>18</v>
      </c>
      <c r="H62" s="3">
        <v>24.95</v>
      </c>
      <c r="I62" s="4">
        <v>1</v>
      </c>
      <c r="J62" s="4">
        <v>0</v>
      </c>
      <c r="K62" s="3">
        <f>H62*J62</f>
        <v>0</v>
      </c>
    </row>
    <row r="63" spans="1:13">
      <c r="A63" s="4" t="s">
        <v>182</v>
      </c>
    </row>
    <row r="64" spans="1:13" ht="14.25" customHeight="1"/>
    <row r="65" spans="1:3">
      <c r="A65" s="4" t="s">
        <v>181</v>
      </c>
    </row>
    <row r="67" spans="1:3">
      <c r="A67" s="4" t="s">
        <v>183</v>
      </c>
    </row>
    <row r="69" spans="1:3">
      <c r="A69" s="4" t="s">
        <v>185</v>
      </c>
    </row>
    <row r="71" spans="1:3">
      <c r="A71" s="4" t="s">
        <v>187</v>
      </c>
    </row>
    <row r="73" spans="1:3">
      <c r="A73" s="4" t="s">
        <v>190</v>
      </c>
    </row>
    <row r="74" spans="1:3" ht="14.25" customHeight="1"/>
    <row r="75" spans="1:3" ht="17.25" customHeight="1">
      <c r="A75" t="s">
        <v>197</v>
      </c>
    </row>
    <row r="76" spans="1:3" ht="14.25" hidden="1" customHeight="1">
      <c r="C76" t="s">
        <v>199</v>
      </c>
    </row>
    <row r="77" spans="1:3" ht="16.5" customHeight="1"/>
    <row r="78" spans="1:3" ht="16.5" customHeight="1">
      <c r="A78" s="4" t="s">
        <v>194</v>
      </c>
    </row>
    <row r="79" spans="1:3" ht="16.5" customHeight="1">
      <c r="A79" s="4" t="s">
        <v>189</v>
      </c>
    </row>
    <row r="80" spans="1:3" ht="16.5" customHeight="1"/>
    <row r="81" spans="1:13" ht="14.25" customHeight="1">
      <c r="A81" s="4" t="s">
        <v>195</v>
      </c>
    </row>
    <row r="82" spans="1:13" ht="12.75" hidden="1" customHeight="1">
      <c r="B82" t="s">
        <v>242</v>
      </c>
      <c r="C82" s="4" t="s">
        <v>66</v>
      </c>
      <c r="D82" s="5" t="s">
        <v>67</v>
      </c>
      <c r="E82" s="12" t="s">
        <v>210</v>
      </c>
      <c r="G82" s="4" t="s">
        <v>18</v>
      </c>
      <c r="H82" s="3">
        <v>19.95</v>
      </c>
      <c r="I82" s="4">
        <v>1</v>
      </c>
      <c r="J82" s="10">
        <v>0</v>
      </c>
      <c r="K82" s="3">
        <f>H82*J82</f>
        <v>0</v>
      </c>
      <c r="M82" s="4" t="s">
        <v>168</v>
      </c>
    </row>
    <row r="83" spans="1:13" ht="16.5" hidden="1" customHeight="1">
      <c r="B83" s="4" t="s">
        <v>132</v>
      </c>
      <c r="C83" s="4" t="s">
        <v>59</v>
      </c>
      <c r="D83" s="2" t="s">
        <v>203</v>
      </c>
      <c r="E83" s="12" t="s">
        <v>204</v>
      </c>
      <c r="G83" s="4" t="s">
        <v>18</v>
      </c>
      <c r="H83" s="3">
        <v>29.95</v>
      </c>
      <c r="I83" s="4">
        <v>2</v>
      </c>
      <c r="J83" s="4">
        <v>0</v>
      </c>
      <c r="K83" s="3">
        <f>H83*J83</f>
        <v>0</v>
      </c>
    </row>
    <row r="84" spans="1:13" ht="27.75" hidden="1" customHeight="1">
      <c r="B84" t="s">
        <v>205</v>
      </c>
      <c r="D84" s="2" t="s">
        <v>203</v>
      </c>
      <c r="E84" s="13" t="s">
        <v>210</v>
      </c>
      <c r="G84" s="4" t="s">
        <v>18</v>
      </c>
      <c r="H84" s="3">
        <v>29.95</v>
      </c>
      <c r="I84" s="4">
        <v>2</v>
      </c>
      <c r="J84" s="10">
        <v>0</v>
      </c>
      <c r="K84" s="3">
        <f>H84*J84</f>
        <v>0</v>
      </c>
    </row>
    <row r="85" spans="1:13" ht="16.5" customHeight="1">
      <c r="C85" s="4" t="s">
        <v>52</v>
      </c>
      <c r="J85" s="4">
        <v>0</v>
      </c>
      <c r="K85" s="3">
        <f>H85*J85</f>
        <v>0</v>
      </c>
      <c r="M85" s="4" t="s">
        <v>167</v>
      </c>
    </row>
    <row r="86" spans="1:13" ht="16.5" customHeight="1">
      <c r="B86"/>
      <c r="G86"/>
      <c r="J86" s="8"/>
    </row>
    <row r="87" spans="1:13" ht="16.5" customHeight="1">
      <c r="A87" t="s">
        <v>264</v>
      </c>
      <c r="B87"/>
      <c r="G87"/>
      <c r="J87" s="8"/>
    </row>
    <row r="88" spans="1:13" ht="16.5" customHeight="1"/>
    <row r="89" spans="1:13">
      <c r="A89" t="s">
        <v>198</v>
      </c>
    </row>
    <row r="90" spans="1:13">
      <c r="A90" s="4" t="s">
        <v>186</v>
      </c>
      <c r="C90"/>
      <c r="D90" s="2"/>
    </row>
    <row r="91" spans="1:13">
      <c r="B91"/>
      <c r="D91" s="2"/>
      <c r="E91" s="13"/>
    </row>
    <row r="92" spans="1:13">
      <c r="A92" t="s">
        <v>215</v>
      </c>
      <c r="B92"/>
      <c r="D92" s="2"/>
      <c r="E92" s="13"/>
    </row>
    <row r="94" spans="1:13" hidden="1">
      <c r="B94" t="s">
        <v>244</v>
      </c>
      <c r="C94" t="s">
        <v>245</v>
      </c>
      <c r="D94" s="2" t="s">
        <v>246</v>
      </c>
      <c r="G94" s="4" t="s">
        <v>247</v>
      </c>
      <c r="H94" s="3">
        <v>17.91</v>
      </c>
      <c r="I94" s="4">
        <v>1</v>
      </c>
      <c r="J94" s="4">
        <v>0</v>
      </c>
      <c r="K94" s="3">
        <f>H94*J94</f>
        <v>0</v>
      </c>
    </row>
    <row r="95" spans="1:13">
      <c r="A95" t="s">
        <v>226</v>
      </c>
    </row>
    <row r="96" spans="1:13">
      <c r="B96"/>
      <c r="C96"/>
      <c r="D96" s="2"/>
      <c r="E96" s="13"/>
    </row>
    <row r="97" spans="1:12" hidden="1">
      <c r="B97" s="4" t="s">
        <v>11</v>
      </c>
      <c r="D97" s="5" t="s">
        <v>12</v>
      </c>
      <c r="E97" s="12" t="s">
        <v>13</v>
      </c>
      <c r="G97" s="4" t="s">
        <v>14</v>
      </c>
      <c r="H97" s="3">
        <v>9.9499999999999993</v>
      </c>
      <c r="I97" s="4">
        <v>100</v>
      </c>
      <c r="J97" s="4">
        <v>0</v>
      </c>
      <c r="K97" s="3">
        <f>H97*J97</f>
        <v>0</v>
      </c>
    </row>
    <row r="98" spans="1:12" hidden="1">
      <c r="B98" s="4" t="s">
        <v>15</v>
      </c>
      <c r="D98" s="5" t="s">
        <v>16</v>
      </c>
      <c r="E98" s="12" t="s">
        <v>17</v>
      </c>
      <c r="G98" s="4" t="s">
        <v>18</v>
      </c>
      <c r="H98" s="3">
        <v>9.9499999999999993</v>
      </c>
      <c r="I98" s="4">
        <v>100</v>
      </c>
      <c r="J98" s="4">
        <v>0</v>
      </c>
      <c r="K98" s="3">
        <f>H98*J98</f>
        <v>0</v>
      </c>
    </row>
    <row r="99" spans="1:12" hidden="1">
      <c r="B99" s="4" t="s">
        <v>20</v>
      </c>
      <c r="D99" s="5" t="s">
        <v>21</v>
      </c>
      <c r="E99" s="12" t="s">
        <v>22</v>
      </c>
      <c r="G99" s="4" t="s">
        <v>18</v>
      </c>
      <c r="H99" s="3">
        <v>8.9499999999999993</v>
      </c>
      <c r="I99" s="4">
        <v>50</v>
      </c>
      <c r="J99" s="4">
        <v>0</v>
      </c>
      <c r="K99" s="3">
        <f>H99*J99</f>
        <v>0</v>
      </c>
    </row>
    <row r="100" spans="1:12" hidden="1">
      <c r="B100" s="4" t="s">
        <v>19</v>
      </c>
      <c r="C100" s="4" t="s">
        <v>105</v>
      </c>
      <c r="D100" s="5" t="s">
        <v>106</v>
      </c>
      <c r="G100" s="4" t="s">
        <v>18</v>
      </c>
      <c r="H100" s="3">
        <v>2.95</v>
      </c>
      <c r="I100" s="4">
        <v>100</v>
      </c>
      <c r="J100" s="4">
        <v>0</v>
      </c>
      <c r="K100" s="3">
        <f>H100*J100</f>
        <v>0</v>
      </c>
    </row>
    <row r="101" spans="1:12" ht="25.5" hidden="1">
      <c r="B101" s="4" t="s">
        <v>145</v>
      </c>
      <c r="C101" s="4" t="s">
        <v>107</v>
      </c>
      <c r="D101" s="5" t="s">
        <v>108</v>
      </c>
      <c r="G101" s="4" t="s">
        <v>18</v>
      </c>
      <c r="H101" s="3">
        <v>9.9499999999999993</v>
      </c>
      <c r="I101" s="4">
        <v>100</v>
      </c>
      <c r="J101" s="4">
        <v>0</v>
      </c>
      <c r="K101" s="3">
        <f>H101*J101</f>
        <v>0</v>
      </c>
    </row>
    <row r="102" spans="1:12" ht="17.25" hidden="1" customHeight="1">
      <c r="B102" s="4" t="s">
        <v>144</v>
      </c>
      <c r="C102" s="4" t="s">
        <v>109</v>
      </c>
      <c r="D102" s="5" t="s">
        <v>110</v>
      </c>
      <c r="G102" s="4" t="s">
        <v>18</v>
      </c>
      <c r="H102" s="3">
        <v>9.9499999999999993</v>
      </c>
      <c r="I102" s="4">
        <v>100</v>
      </c>
      <c r="J102" s="4">
        <v>0</v>
      </c>
      <c r="K102" s="3">
        <f>H102*J102</f>
        <v>0</v>
      </c>
    </row>
    <row r="103" spans="1:12" hidden="1">
      <c r="B103" s="4" t="s">
        <v>150</v>
      </c>
      <c r="C103" s="4" t="s">
        <v>119</v>
      </c>
      <c r="D103" s="5" t="s">
        <v>123</v>
      </c>
      <c r="G103" s="4" t="s">
        <v>18</v>
      </c>
      <c r="H103" s="3">
        <v>8.9499999999999993</v>
      </c>
      <c r="I103" s="4">
        <v>50</v>
      </c>
      <c r="J103" s="4">
        <v>0</v>
      </c>
      <c r="K103" s="3">
        <f>H103*J103</f>
        <v>0</v>
      </c>
    </row>
    <row r="104" spans="1:12">
      <c r="A104" t="s">
        <v>243</v>
      </c>
      <c r="B104"/>
      <c r="C104"/>
      <c r="D104" s="2"/>
      <c r="E104" s="13"/>
    </row>
    <row r="106" spans="1:12">
      <c r="A106" s="4" t="s">
        <v>188</v>
      </c>
    </row>
    <row r="107" spans="1:12" hidden="1">
      <c r="B107" s="4" t="s">
        <v>33</v>
      </c>
      <c r="C107" s="4" t="s">
        <v>68</v>
      </c>
      <c r="D107" s="5" t="s">
        <v>69</v>
      </c>
      <c r="E107" s="12" t="s">
        <v>196</v>
      </c>
      <c r="G107" s="4" t="s">
        <v>18</v>
      </c>
      <c r="H107" s="3">
        <v>49.95</v>
      </c>
      <c r="I107" s="4">
        <v>1</v>
      </c>
      <c r="J107" s="4">
        <v>0</v>
      </c>
      <c r="K107" s="3">
        <f>H107*J107</f>
        <v>0</v>
      </c>
    </row>
    <row r="108" spans="1:12" hidden="1">
      <c r="B108" s="4" t="s">
        <v>133</v>
      </c>
      <c r="C108" s="4" t="s">
        <v>62</v>
      </c>
      <c r="D108" s="5" t="s">
        <v>63</v>
      </c>
      <c r="G108" s="4" t="s">
        <v>18</v>
      </c>
      <c r="H108" s="3">
        <v>5.95</v>
      </c>
      <c r="I108" s="4">
        <v>1</v>
      </c>
      <c r="J108" s="4">
        <v>0</v>
      </c>
      <c r="K108" s="3">
        <f>H108*J108</f>
        <v>0</v>
      </c>
      <c r="L108" s="8"/>
    </row>
    <row r="109" spans="1:12" hidden="1">
      <c r="B109" s="4" t="s">
        <v>137</v>
      </c>
      <c r="C109" s="4" t="s">
        <v>135</v>
      </c>
      <c r="D109" s="5" t="s">
        <v>136</v>
      </c>
      <c r="G109" s="4" t="s">
        <v>18</v>
      </c>
      <c r="H109" s="3">
        <v>24.95</v>
      </c>
      <c r="I109" s="4">
        <v>1</v>
      </c>
      <c r="J109" s="4">
        <v>0</v>
      </c>
      <c r="K109" s="3">
        <f>H109*J109</f>
        <v>0</v>
      </c>
    </row>
    <row r="112" spans="1:12" hidden="1">
      <c r="B112" s="4" t="s">
        <v>36</v>
      </c>
      <c r="D112" s="5" t="s">
        <v>37</v>
      </c>
      <c r="G112" s="4" t="s">
        <v>18</v>
      </c>
      <c r="H112" s="3">
        <v>16.95</v>
      </c>
      <c r="J112" s="10">
        <v>0</v>
      </c>
      <c r="K112" s="3">
        <f>H112*J112</f>
        <v>0</v>
      </c>
    </row>
    <row r="113" spans="1:11">
      <c r="A113" s="4" t="s">
        <v>191</v>
      </c>
    </row>
    <row r="115" spans="1:11">
      <c r="A115" s="4" t="s">
        <v>192</v>
      </c>
    </row>
    <row r="116" spans="1:11" hidden="1">
      <c r="B116" s="4" t="s">
        <v>41</v>
      </c>
      <c r="D116" s="5" t="s">
        <v>42</v>
      </c>
      <c r="E116" s="12">
        <v>346</v>
      </c>
      <c r="G116" s="4" t="s">
        <v>43</v>
      </c>
      <c r="H116" s="3">
        <v>27.17</v>
      </c>
      <c r="I116" s="4" t="s">
        <v>44</v>
      </c>
      <c r="J116" s="4">
        <v>0</v>
      </c>
      <c r="K116" s="3">
        <f>H116*J116</f>
        <v>0</v>
      </c>
    </row>
    <row r="117" spans="1:11" hidden="1">
      <c r="B117" s="4" t="s">
        <v>45</v>
      </c>
      <c r="D117" s="5" t="s">
        <v>46</v>
      </c>
      <c r="E117" s="12">
        <v>693</v>
      </c>
      <c r="G117" s="4" t="s">
        <v>43</v>
      </c>
      <c r="H117" s="3">
        <v>12.77</v>
      </c>
      <c r="I117" s="4" t="s">
        <v>47</v>
      </c>
      <c r="J117" s="4">
        <v>0</v>
      </c>
      <c r="K117" s="3">
        <f>H117*J117</f>
        <v>0</v>
      </c>
    </row>
    <row r="118" spans="1:11" hidden="1">
      <c r="B118" s="4" t="s">
        <v>48</v>
      </c>
      <c r="D118" s="2" t="s">
        <v>200</v>
      </c>
      <c r="E118" s="12" t="s">
        <v>49</v>
      </c>
      <c r="G118" s="4" t="s">
        <v>50</v>
      </c>
      <c r="H118" s="3">
        <v>1.52</v>
      </c>
      <c r="I118" s="4">
        <v>1</v>
      </c>
      <c r="J118" s="4">
        <v>0</v>
      </c>
      <c r="K118" s="3">
        <f>H118*J118</f>
        <v>0</v>
      </c>
    </row>
    <row r="120" spans="1:11">
      <c r="A120" s="4" t="s">
        <v>193</v>
      </c>
    </row>
    <row r="121" spans="1:11" hidden="1">
      <c r="B121" s="4" t="s">
        <v>143</v>
      </c>
      <c r="C121" s="4" t="s">
        <v>101</v>
      </c>
      <c r="D121" s="5" t="s">
        <v>102</v>
      </c>
      <c r="G121" s="4" t="s">
        <v>18</v>
      </c>
      <c r="H121" s="3">
        <v>13.95</v>
      </c>
      <c r="I121" s="4">
        <v>12</v>
      </c>
      <c r="J121" s="4">
        <v>0</v>
      </c>
      <c r="K121" s="3">
        <f>H121*J121</f>
        <v>0</v>
      </c>
    </row>
    <row r="122" spans="1:11" hidden="1">
      <c r="B122" s="4" t="s">
        <v>151</v>
      </c>
      <c r="C122" s="4" t="s">
        <v>120</v>
      </c>
      <c r="D122" s="5" t="s">
        <v>124</v>
      </c>
      <c r="G122" s="4" t="s">
        <v>18</v>
      </c>
      <c r="H122" s="3">
        <v>12</v>
      </c>
      <c r="I122" s="4">
        <v>12</v>
      </c>
      <c r="J122" s="4">
        <v>0</v>
      </c>
      <c r="K122" s="3">
        <f>H122*J122</f>
        <v>0</v>
      </c>
    </row>
    <row r="125" spans="1:11">
      <c r="K125" s="3">
        <f>SUM(K3:K124)</f>
        <v>721.32000000000016</v>
      </c>
    </row>
    <row r="128" spans="1:11">
      <c r="C128" s="11" t="s">
        <v>213</v>
      </c>
    </row>
    <row r="129" spans="3:4">
      <c r="C129" t="s">
        <v>211</v>
      </c>
    </row>
    <row r="130" spans="3:4">
      <c r="C130" s="11" t="s">
        <v>225</v>
      </c>
    </row>
    <row r="131" spans="3:4">
      <c r="C131" s="11" t="s">
        <v>212</v>
      </c>
    </row>
    <row r="132" spans="3:4">
      <c r="C132" t="s">
        <v>211</v>
      </c>
      <c r="D132" s="2" t="s">
        <v>214</v>
      </c>
    </row>
    <row r="133" spans="3:4">
      <c r="C133" s="9" t="s">
        <v>243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0" verticalDpi="0" r:id="rId1"/>
  <headerFooter>
    <oddHeader>&amp;C&amp;A</oddHeader>
    <oddFooter>&amp;CPage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33"/>
  <sheetViews>
    <sheetView tabSelected="1" zoomScaleNormal="100" workbookViewId="0">
      <pane ySplit="765" activePane="bottomLeft"/>
      <selection activeCell="M3" sqref="M3"/>
      <selection pane="bottomLeft" activeCell="A59" sqref="A59:XFD61"/>
    </sheetView>
  </sheetViews>
  <sheetFormatPr defaultRowHeight="12.75"/>
  <cols>
    <col min="1" max="1" width="9.140625" style="4" customWidth="1"/>
    <col min="2" max="2" width="16" style="4" customWidth="1"/>
    <col min="3" max="3" width="28.28515625" style="4" customWidth="1"/>
    <col min="4" max="4" width="23.5703125" style="5" customWidth="1"/>
    <col min="5" max="5" width="7.42578125" style="12" customWidth="1"/>
    <col min="6" max="6" width="6" style="4" customWidth="1"/>
    <col min="7" max="7" width="16.140625" style="4" customWidth="1"/>
    <col min="8" max="8" width="8.85546875" style="3" customWidth="1"/>
    <col min="9" max="9" width="10.28515625" style="4" customWidth="1"/>
    <col min="10" max="10" width="8.85546875" style="4" customWidth="1"/>
    <col min="11" max="11" width="9.140625" style="3"/>
    <col min="12" max="16384" width="9.140625" style="4"/>
  </cols>
  <sheetData>
    <row r="1" spans="2:13">
      <c r="B1" s="4" t="s">
        <v>0</v>
      </c>
      <c r="C1" s="4" t="s">
        <v>54</v>
      </c>
      <c r="D1" s="5" t="s">
        <v>1</v>
      </c>
      <c r="E1" s="12" t="s">
        <v>2</v>
      </c>
      <c r="F1" s="4" t="s">
        <v>3</v>
      </c>
      <c r="G1" s="4" t="s">
        <v>4</v>
      </c>
      <c r="H1" s="3" t="s">
        <v>5</v>
      </c>
      <c r="I1" s="4" t="s">
        <v>6</v>
      </c>
      <c r="J1" s="4" t="s">
        <v>7</v>
      </c>
      <c r="K1" s="3" t="s">
        <v>8</v>
      </c>
    </row>
    <row r="3" spans="2:13" ht="25.5">
      <c r="B3" s="4" t="s">
        <v>162</v>
      </c>
      <c r="C3" s="4" t="s">
        <v>164</v>
      </c>
      <c r="D3" s="5" t="s">
        <v>165</v>
      </c>
      <c r="E3" s="12" t="s">
        <v>163</v>
      </c>
      <c r="G3" t="s">
        <v>228</v>
      </c>
      <c r="H3" s="3">
        <v>5</v>
      </c>
      <c r="I3" s="4">
        <v>1</v>
      </c>
      <c r="J3" s="4">
        <v>8</v>
      </c>
      <c r="K3" s="3">
        <f>H3*J3</f>
        <v>40</v>
      </c>
    </row>
    <row r="4" spans="2:13">
      <c r="B4" s="4" t="s">
        <v>272</v>
      </c>
      <c r="C4" s="4" t="s">
        <v>273</v>
      </c>
      <c r="D4" s="2" t="s">
        <v>274</v>
      </c>
      <c r="G4" t="s">
        <v>228</v>
      </c>
      <c r="H4" s="3">
        <v>25</v>
      </c>
      <c r="I4" s="4">
        <v>1</v>
      </c>
      <c r="J4" s="4">
        <v>4</v>
      </c>
      <c r="K4" s="3">
        <f>H4*J4</f>
        <v>100</v>
      </c>
    </row>
    <row r="5" spans="2:13">
      <c r="B5" t="s">
        <v>277</v>
      </c>
      <c r="C5" t="s">
        <v>278</v>
      </c>
      <c r="D5" s="2" t="s">
        <v>279</v>
      </c>
      <c r="E5" s="13" t="s">
        <v>280</v>
      </c>
      <c r="G5" s="4" t="s">
        <v>228</v>
      </c>
      <c r="H5" s="3">
        <v>7</v>
      </c>
      <c r="I5" s="4">
        <v>25</v>
      </c>
      <c r="J5" s="4">
        <v>1</v>
      </c>
      <c r="K5" s="3">
        <f>H5*J5</f>
        <v>7</v>
      </c>
    </row>
    <row r="6" spans="2:13">
      <c r="B6" t="s">
        <v>229</v>
      </c>
      <c r="C6" t="s">
        <v>227</v>
      </c>
      <c r="D6" s="2" t="s">
        <v>230</v>
      </c>
      <c r="E6" s="13" t="s">
        <v>231</v>
      </c>
      <c r="G6" s="4" t="s">
        <v>228</v>
      </c>
      <c r="H6" s="3">
        <v>20</v>
      </c>
      <c r="I6" s="4">
        <v>1</v>
      </c>
      <c r="J6" s="4">
        <v>2</v>
      </c>
      <c r="K6" s="3">
        <f>H6*J6</f>
        <v>40</v>
      </c>
    </row>
    <row r="7" spans="2:13">
      <c r="B7"/>
      <c r="C7" s="4" t="s">
        <v>275</v>
      </c>
      <c r="G7" t="s">
        <v>276</v>
      </c>
      <c r="J7" s="8"/>
    </row>
    <row r="8" spans="2:13">
      <c r="B8" t="s">
        <v>208</v>
      </c>
      <c r="C8" t="s">
        <v>201</v>
      </c>
      <c r="D8" s="2" t="s">
        <v>202</v>
      </c>
      <c r="E8" s="13" t="s">
        <v>209</v>
      </c>
      <c r="G8" t="s">
        <v>281</v>
      </c>
      <c r="H8" s="3">
        <v>25.52</v>
      </c>
      <c r="I8" s="4">
        <v>1</v>
      </c>
      <c r="J8" s="4">
        <v>1</v>
      </c>
      <c r="K8" s="3">
        <f>H8*J8</f>
        <v>25.52</v>
      </c>
    </row>
    <row r="9" spans="2:13" hidden="1">
      <c r="B9" t="s">
        <v>221</v>
      </c>
      <c r="C9" t="s">
        <v>222</v>
      </c>
      <c r="D9" s="2" t="s">
        <v>223</v>
      </c>
      <c r="E9" s="13" t="s">
        <v>224</v>
      </c>
      <c r="G9" s="4" t="s">
        <v>43</v>
      </c>
      <c r="H9" s="3">
        <v>15.5</v>
      </c>
      <c r="I9" s="4">
        <v>1</v>
      </c>
      <c r="J9" s="10">
        <v>0</v>
      </c>
      <c r="K9" s="3">
        <f>H9*J9</f>
        <v>0</v>
      </c>
      <c r="M9" t="s">
        <v>269</v>
      </c>
    </row>
    <row r="10" spans="2:13" hidden="1">
      <c r="B10" t="s">
        <v>270</v>
      </c>
      <c r="C10" t="s">
        <v>271</v>
      </c>
      <c r="D10" s="2"/>
      <c r="E10" s="13"/>
      <c r="G10" t="s">
        <v>43</v>
      </c>
      <c r="H10" s="3">
        <v>27.12</v>
      </c>
      <c r="I10" s="4">
        <v>1</v>
      </c>
      <c r="J10" s="10">
        <v>0</v>
      </c>
      <c r="K10" s="3">
        <f>H10*J10</f>
        <v>0</v>
      </c>
      <c r="M10"/>
    </row>
    <row r="11" spans="2:13" hidden="1">
      <c r="B11" t="s">
        <v>265</v>
      </c>
      <c r="C11" s="4" t="s">
        <v>211</v>
      </c>
      <c r="G11" t="s">
        <v>266</v>
      </c>
      <c r="H11" s="3">
        <v>36.950000000000003</v>
      </c>
      <c r="I11" s="4">
        <v>1</v>
      </c>
      <c r="J11" s="10">
        <v>0</v>
      </c>
      <c r="K11" s="3">
        <f>H11*J11</f>
        <v>0</v>
      </c>
      <c r="M11" t="s">
        <v>267</v>
      </c>
    </row>
    <row r="12" spans="2:13" hidden="1">
      <c r="B12" s="4" t="s">
        <v>139</v>
      </c>
      <c r="C12" s="4" t="s">
        <v>74</v>
      </c>
      <c r="D12" s="5" t="s">
        <v>75</v>
      </c>
      <c r="G12" s="4" t="s">
        <v>18</v>
      </c>
      <c r="H12" s="3">
        <v>4.95</v>
      </c>
      <c r="I12" s="4">
        <v>2</v>
      </c>
      <c r="J12" s="4">
        <v>0</v>
      </c>
      <c r="K12" s="3">
        <f>H12*J12</f>
        <v>0</v>
      </c>
    </row>
    <row r="13" spans="2:13" hidden="1">
      <c r="B13" t="s">
        <v>233</v>
      </c>
      <c r="C13" s="4" t="s">
        <v>232</v>
      </c>
      <c r="G13" t="s">
        <v>234</v>
      </c>
      <c r="H13" s="3">
        <v>67.95</v>
      </c>
      <c r="I13" s="4">
        <v>1</v>
      </c>
      <c r="J13" s="10">
        <v>0</v>
      </c>
      <c r="K13" s="3">
        <f>H13*J13</f>
        <v>0</v>
      </c>
      <c r="M13" t="s">
        <v>268</v>
      </c>
    </row>
    <row r="14" spans="2:13">
      <c r="B14" t="s">
        <v>262</v>
      </c>
      <c r="C14" s="4" t="s">
        <v>263</v>
      </c>
      <c r="G14" t="s">
        <v>234</v>
      </c>
      <c r="H14" s="3">
        <v>24.95</v>
      </c>
      <c r="I14" s="4">
        <v>1</v>
      </c>
      <c r="J14" s="8">
        <v>1</v>
      </c>
      <c r="K14" s="3">
        <f>H14*J14</f>
        <v>24.95</v>
      </c>
    </row>
    <row r="15" spans="2:13">
      <c r="B15" t="s">
        <v>216</v>
      </c>
      <c r="C15" t="s">
        <v>217</v>
      </c>
      <c r="D15" s="2"/>
      <c r="E15" s="13"/>
      <c r="G15" s="4" t="s">
        <v>218</v>
      </c>
      <c r="H15" s="3">
        <v>99.95</v>
      </c>
      <c r="I15" s="4">
        <v>1</v>
      </c>
      <c r="J15" s="4">
        <v>1</v>
      </c>
      <c r="K15" s="3">
        <f>H15*J15</f>
        <v>99.95</v>
      </c>
    </row>
    <row r="16" spans="2:13">
      <c r="B16" t="s">
        <v>219</v>
      </c>
      <c r="C16" t="s">
        <v>220</v>
      </c>
      <c r="D16" s="2"/>
      <c r="E16" s="13"/>
      <c r="G16" s="4" t="s">
        <v>218</v>
      </c>
      <c r="H16" s="3">
        <v>17.95</v>
      </c>
      <c r="I16" s="4">
        <v>1</v>
      </c>
      <c r="J16" s="4">
        <v>1</v>
      </c>
      <c r="K16" s="3">
        <f>H16*J16</f>
        <v>17.95</v>
      </c>
    </row>
    <row r="17" spans="1:13" hidden="1">
      <c r="B17" t="s">
        <v>235</v>
      </c>
      <c r="C17" s="4" t="s">
        <v>84</v>
      </c>
      <c r="D17" s="5" t="s">
        <v>85</v>
      </c>
      <c r="E17" s="13">
        <f>416/25.4</f>
        <v>16.377952755905511</v>
      </c>
      <c r="G17" s="4" t="s">
        <v>18</v>
      </c>
      <c r="H17" s="3">
        <v>17.95</v>
      </c>
      <c r="I17" s="4">
        <v>1</v>
      </c>
      <c r="J17" s="4">
        <v>0</v>
      </c>
      <c r="K17" s="3">
        <f>H17*J17</f>
        <v>0</v>
      </c>
    </row>
    <row r="18" spans="1:13" ht="11.25" hidden="1" customHeight="1">
      <c r="B18" t="s">
        <v>236</v>
      </c>
      <c r="C18" s="4" t="s">
        <v>82</v>
      </c>
      <c r="D18" s="5" t="s">
        <v>83</v>
      </c>
      <c r="E18" s="13">
        <f>288/25.4</f>
        <v>11.338582677165356</v>
      </c>
      <c r="G18" s="4" t="s">
        <v>18</v>
      </c>
      <c r="H18" s="3">
        <v>27.95</v>
      </c>
      <c r="I18" s="4">
        <v>2</v>
      </c>
      <c r="J18" s="4">
        <v>0</v>
      </c>
      <c r="K18" s="3">
        <f>H18*J18</f>
        <v>0</v>
      </c>
    </row>
    <row r="19" spans="1:13" hidden="1">
      <c r="B19" t="s">
        <v>237</v>
      </c>
      <c r="C19" s="4" t="s">
        <v>80</v>
      </c>
      <c r="D19" s="5" t="s">
        <v>81</v>
      </c>
      <c r="E19" s="13">
        <f>160/25.4</f>
        <v>6.2992125984251972</v>
      </c>
      <c r="G19" s="4" t="s">
        <v>18</v>
      </c>
      <c r="H19" s="3">
        <v>16.95</v>
      </c>
      <c r="I19" s="4">
        <v>2</v>
      </c>
      <c r="J19" s="4">
        <v>0</v>
      </c>
      <c r="K19" s="3">
        <f>H19*J19</f>
        <v>0</v>
      </c>
    </row>
    <row r="20" spans="1:13" hidden="1">
      <c r="B20" t="s">
        <v>238</v>
      </c>
      <c r="C20" s="4" t="s">
        <v>78</v>
      </c>
      <c r="D20" s="5" t="s">
        <v>79</v>
      </c>
      <c r="E20" s="13">
        <f>96/25.4</f>
        <v>3.7795275590551185</v>
      </c>
      <c r="G20" s="4" t="s">
        <v>18</v>
      </c>
      <c r="H20" s="3">
        <v>11.95</v>
      </c>
      <c r="I20" s="4">
        <v>2</v>
      </c>
      <c r="J20" s="4">
        <v>0</v>
      </c>
      <c r="K20" s="3">
        <f>H20*J20</f>
        <v>0</v>
      </c>
    </row>
    <row r="21" spans="1:13" hidden="1">
      <c r="B21" t="s">
        <v>239</v>
      </c>
      <c r="C21" s="4" t="s">
        <v>76</v>
      </c>
      <c r="D21" s="5" t="s">
        <v>77</v>
      </c>
      <c r="E21" s="13">
        <f>32/25.4</f>
        <v>1.2598425196850394</v>
      </c>
      <c r="G21" s="4" t="s">
        <v>18</v>
      </c>
      <c r="H21" s="3">
        <v>9.9499999999999993</v>
      </c>
      <c r="I21" s="4">
        <v>2</v>
      </c>
      <c r="J21" s="4">
        <v>0</v>
      </c>
      <c r="K21" s="3">
        <f>H21*J21</f>
        <v>0</v>
      </c>
    </row>
    <row r="22" spans="1:13" hidden="1">
      <c r="B22" t="s">
        <v>248</v>
      </c>
      <c r="C22" s="4" t="s">
        <v>72</v>
      </c>
      <c r="D22" s="5" t="s">
        <v>73</v>
      </c>
      <c r="G22" s="4" t="s">
        <v>18</v>
      </c>
      <c r="H22" s="3">
        <v>5.95</v>
      </c>
      <c r="I22" s="4">
        <v>2</v>
      </c>
      <c r="J22" s="4">
        <v>0</v>
      </c>
      <c r="K22" s="3">
        <f>H22*J22</f>
        <v>0</v>
      </c>
    </row>
    <row r="23" spans="1:13" hidden="1">
      <c r="B23" t="s">
        <v>249</v>
      </c>
      <c r="D23" s="5" t="s">
        <v>10</v>
      </c>
      <c r="G23" s="4" t="s">
        <v>9</v>
      </c>
      <c r="H23" s="3">
        <v>4.95</v>
      </c>
      <c r="I23" s="4">
        <v>2</v>
      </c>
      <c r="J23" s="4">
        <v>0</v>
      </c>
      <c r="K23" s="3">
        <f>H23*J23</f>
        <v>0</v>
      </c>
    </row>
    <row r="24" spans="1:13" hidden="1">
      <c r="B24" t="s">
        <v>250</v>
      </c>
      <c r="C24" s="4" t="s">
        <v>122</v>
      </c>
      <c r="D24" s="5" t="s">
        <v>128</v>
      </c>
      <c r="G24" s="4" t="s">
        <v>18</v>
      </c>
      <c r="H24" s="3">
        <v>4.95</v>
      </c>
      <c r="I24" s="4">
        <v>2</v>
      </c>
      <c r="J24" s="4">
        <v>0</v>
      </c>
      <c r="K24" s="3">
        <f>H24*J24</f>
        <v>0</v>
      </c>
    </row>
    <row r="25" spans="1:13" hidden="1">
      <c r="B25" t="s">
        <v>251</v>
      </c>
      <c r="C25" s="4" t="s">
        <v>86</v>
      </c>
      <c r="D25" s="5" t="s">
        <v>87</v>
      </c>
      <c r="G25" s="4" t="s">
        <v>18</v>
      </c>
      <c r="H25" s="3">
        <v>13.95</v>
      </c>
      <c r="I25" s="4">
        <v>2</v>
      </c>
      <c r="J25" s="4">
        <v>0</v>
      </c>
      <c r="K25" s="3">
        <f>H25*J25</f>
        <v>0</v>
      </c>
    </row>
    <row r="26" spans="1:13" hidden="1">
      <c r="B26" s="4" t="s">
        <v>25</v>
      </c>
      <c r="D26" s="5" t="s">
        <v>26</v>
      </c>
      <c r="E26" s="12" t="s">
        <v>27</v>
      </c>
      <c r="G26" s="4" t="s">
        <v>18</v>
      </c>
      <c r="H26" s="3">
        <v>6.95</v>
      </c>
      <c r="I26" s="4">
        <v>2</v>
      </c>
      <c r="J26" s="4">
        <v>0</v>
      </c>
      <c r="K26" s="3">
        <f>H26*J26</f>
        <v>0</v>
      </c>
    </row>
    <row r="27" spans="1:13" customFormat="1" hidden="1">
      <c r="A27" s="4"/>
      <c r="B27" t="s">
        <v>252</v>
      </c>
      <c r="C27" s="4" t="s">
        <v>88</v>
      </c>
      <c r="D27" s="5" t="s">
        <v>89</v>
      </c>
      <c r="E27" s="12"/>
      <c r="F27" s="4"/>
      <c r="G27" s="4" t="s">
        <v>18</v>
      </c>
      <c r="H27" s="3">
        <v>10.95</v>
      </c>
      <c r="I27" s="4">
        <v>2</v>
      </c>
      <c r="J27" s="4">
        <v>0</v>
      </c>
      <c r="K27" s="3">
        <f>H27*J27</f>
        <v>0</v>
      </c>
      <c r="L27" s="4"/>
      <c r="M27" s="4"/>
    </row>
    <row r="28" spans="1:13" hidden="1">
      <c r="B28" t="s">
        <v>253</v>
      </c>
      <c r="C28" s="4" t="s">
        <v>90</v>
      </c>
      <c r="D28" s="5" t="s">
        <v>184</v>
      </c>
      <c r="G28" s="4" t="s">
        <v>18</v>
      </c>
      <c r="H28" s="3">
        <v>12.95</v>
      </c>
      <c r="I28" s="4">
        <v>2</v>
      </c>
      <c r="J28" s="4">
        <v>0</v>
      </c>
      <c r="K28" s="3">
        <f>H28*J28</f>
        <v>0</v>
      </c>
    </row>
    <row r="29" spans="1:13" hidden="1">
      <c r="B29" s="4" t="s">
        <v>146</v>
      </c>
      <c r="C29" s="4" t="s">
        <v>111</v>
      </c>
      <c r="D29" s="5" t="s">
        <v>112</v>
      </c>
      <c r="G29" s="4" t="s">
        <v>18</v>
      </c>
      <c r="H29" s="3">
        <v>1.95</v>
      </c>
      <c r="I29" s="4">
        <v>12</v>
      </c>
      <c r="J29" s="4">
        <v>0</v>
      </c>
      <c r="K29" s="3">
        <f>H29*J29</f>
        <v>0</v>
      </c>
    </row>
    <row r="30" spans="1:13" hidden="1">
      <c r="B30" s="4" t="s">
        <v>147</v>
      </c>
      <c r="C30" s="4" t="s">
        <v>113</v>
      </c>
      <c r="D30" s="5" t="s">
        <v>114</v>
      </c>
      <c r="G30" s="4" t="s">
        <v>18</v>
      </c>
      <c r="H30" s="3">
        <v>0.95</v>
      </c>
      <c r="I30" s="4">
        <v>6</v>
      </c>
      <c r="J30" s="4">
        <v>0</v>
      </c>
      <c r="K30" s="3">
        <f>H30*J30</f>
        <v>0</v>
      </c>
    </row>
    <row r="31" spans="1:13" hidden="1">
      <c r="B31" t="s">
        <v>254</v>
      </c>
      <c r="D31" s="5" t="s">
        <v>27</v>
      </c>
      <c r="E31" s="12" t="s">
        <v>28</v>
      </c>
      <c r="G31" s="4" t="s">
        <v>18</v>
      </c>
      <c r="H31" s="3">
        <v>15.95</v>
      </c>
      <c r="I31" s="4">
        <v>6</v>
      </c>
      <c r="J31" s="4">
        <v>0</v>
      </c>
      <c r="K31" s="3">
        <f>H31*J31</f>
        <v>0</v>
      </c>
    </row>
    <row r="32" spans="1:13" ht="14.25" hidden="1" customHeight="1">
      <c r="B32" t="s">
        <v>255</v>
      </c>
      <c r="D32" s="5" t="s">
        <v>27</v>
      </c>
      <c r="E32" s="12" t="s">
        <v>29</v>
      </c>
      <c r="G32" s="4" t="s">
        <v>18</v>
      </c>
      <c r="H32" s="3">
        <v>15.95</v>
      </c>
      <c r="I32" s="4">
        <v>3</v>
      </c>
      <c r="J32" s="4">
        <v>0</v>
      </c>
      <c r="K32" s="3">
        <f>H32*J32</f>
        <v>0</v>
      </c>
    </row>
    <row r="33" spans="2:13" hidden="1">
      <c r="B33" t="s">
        <v>258</v>
      </c>
      <c r="D33" s="5" t="s">
        <v>31</v>
      </c>
      <c r="G33" s="4" t="s">
        <v>18</v>
      </c>
      <c r="H33" s="3">
        <v>13.95</v>
      </c>
      <c r="I33" s="4" t="s">
        <v>32</v>
      </c>
      <c r="J33" s="4">
        <v>0</v>
      </c>
      <c r="K33" s="3">
        <f>H33*J33</f>
        <v>0</v>
      </c>
    </row>
    <row r="34" spans="2:13" hidden="1">
      <c r="B34" t="s">
        <v>259</v>
      </c>
      <c r="C34" s="4" t="s">
        <v>177</v>
      </c>
      <c r="D34" s="5" t="s">
        <v>178</v>
      </c>
      <c r="E34" s="12">
        <v>32</v>
      </c>
      <c r="G34" s="4" t="s">
        <v>18</v>
      </c>
      <c r="H34" s="3">
        <v>29.95</v>
      </c>
      <c r="I34" s="4">
        <v>2</v>
      </c>
      <c r="J34" s="4">
        <v>0</v>
      </c>
      <c r="K34" s="3">
        <f>H34*J34</f>
        <v>0</v>
      </c>
    </row>
    <row r="35" spans="2:13" hidden="1">
      <c r="B35" t="s">
        <v>260</v>
      </c>
      <c r="C35" s="4" t="s">
        <v>179</v>
      </c>
      <c r="D35" s="5" t="s">
        <v>178</v>
      </c>
      <c r="E35" s="12">
        <v>24</v>
      </c>
      <c r="G35" s="4" t="s">
        <v>18</v>
      </c>
      <c r="H35" s="3">
        <v>22.95</v>
      </c>
      <c r="I35" s="4">
        <v>2</v>
      </c>
      <c r="J35" s="10">
        <v>0</v>
      </c>
      <c r="K35" s="3">
        <f>H35*J35</f>
        <v>0</v>
      </c>
    </row>
    <row r="36" spans="2:13" hidden="1">
      <c r="B36" t="s">
        <v>257</v>
      </c>
      <c r="C36" s="4" t="s">
        <v>180</v>
      </c>
      <c r="D36" s="5" t="s">
        <v>178</v>
      </c>
      <c r="E36" s="12">
        <v>16</v>
      </c>
      <c r="G36" s="4" t="s">
        <v>18</v>
      </c>
      <c r="H36" s="3">
        <v>16.95</v>
      </c>
      <c r="I36" s="4">
        <v>2</v>
      </c>
      <c r="J36" s="10">
        <v>0</v>
      </c>
      <c r="K36" s="3">
        <f>H36*J36</f>
        <v>0</v>
      </c>
    </row>
    <row r="37" spans="2:13" hidden="1">
      <c r="B37" t="s">
        <v>152</v>
      </c>
      <c r="C37" t="s">
        <v>121</v>
      </c>
      <c r="D37" s="2" t="s">
        <v>125</v>
      </c>
      <c r="E37" s="13"/>
      <c r="F37"/>
      <c r="G37" t="s">
        <v>18</v>
      </c>
      <c r="H37" s="1">
        <v>6.95</v>
      </c>
      <c r="I37">
        <v>2</v>
      </c>
      <c r="J37">
        <v>0</v>
      </c>
      <c r="K37" s="1">
        <f>H37*J37</f>
        <v>0</v>
      </c>
      <c r="L37" s="7"/>
      <c r="M37"/>
    </row>
    <row r="38" spans="2:13" hidden="1">
      <c r="B38" t="s">
        <v>256</v>
      </c>
      <c r="C38" s="4" t="s">
        <v>103</v>
      </c>
      <c r="D38" s="5" t="s">
        <v>104</v>
      </c>
      <c r="G38" s="4" t="s">
        <v>18</v>
      </c>
      <c r="H38" s="3">
        <v>3.95</v>
      </c>
      <c r="I38" s="4">
        <v>6</v>
      </c>
      <c r="J38" s="4">
        <v>0</v>
      </c>
      <c r="K38" s="3">
        <f>H38*J38</f>
        <v>0</v>
      </c>
    </row>
    <row r="39" spans="2:13" hidden="1">
      <c r="B39" t="s">
        <v>240</v>
      </c>
      <c r="C39" s="4" t="s">
        <v>55</v>
      </c>
      <c r="D39" s="5" t="s">
        <v>56</v>
      </c>
      <c r="G39" s="4" t="s">
        <v>18</v>
      </c>
      <c r="H39" s="3">
        <v>27.95</v>
      </c>
      <c r="I39" s="4">
        <v>2</v>
      </c>
      <c r="J39" s="4">
        <v>0</v>
      </c>
      <c r="K39" s="3">
        <f>H39*J39</f>
        <v>0</v>
      </c>
    </row>
    <row r="40" spans="2:13" hidden="1">
      <c r="B40" s="4" t="s">
        <v>141</v>
      </c>
      <c r="C40" s="4" t="s">
        <v>95</v>
      </c>
      <c r="D40" s="5" t="s">
        <v>96</v>
      </c>
      <c r="G40" s="4" t="s">
        <v>18</v>
      </c>
      <c r="H40" s="3">
        <v>17.95</v>
      </c>
      <c r="I40" s="4">
        <v>1</v>
      </c>
      <c r="J40" s="4">
        <v>0</v>
      </c>
      <c r="K40" s="3">
        <f>H40*J40</f>
        <v>0</v>
      </c>
    </row>
    <row r="41" spans="2:13" hidden="1">
      <c r="B41" s="4" t="s">
        <v>134</v>
      </c>
      <c r="C41" s="4" t="s">
        <v>64</v>
      </c>
      <c r="D41" s="5" t="s">
        <v>65</v>
      </c>
      <c r="G41" s="4" t="s">
        <v>18</v>
      </c>
      <c r="H41" s="3">
        <v>22.95</v>
      </c>
      <c r="I41" s="4">
        <v>2</v>
      </c>
      <c r="J41" s="4">
        <v>0</v>
      </c>
      <c r="K41" s="3">
        <f>H41*J41</f>
        <v>0</v>
      </c>
    </row>
    <row r="42" spans="2:13" hidden="1">
      <c r="B42" t="s">
        <v>241</v>
      </c>
      <c r="C42" s="4" t="s">
        <v>99</v>
      </c>
      <c r="D42" s="5" t="s">
        <v>100</v>
      </c>
      <c r="G42" s="4" t="s">
        <v>18</v>
      </c>
      <c r="H42" s="3">
        <v>6.95</v>
      </c>
      <c r="I42" s="4">
        <v>2</v>
      </c>
      <c r="J42" s="4">
        <v>0</v>
      </c>
      <c r="K42" s="3">
        <f>H42*J42</f>
        <v>0</v>
      </c>
    </row>
    <row r="43" spans="2:13" hidden="1">
      <c r="B43" s="4" t="s">
        <v>172</v>
      </c>
      <c r="C43" s="4" t="s">
        <v>173</v>
      </c>
      <c r="G43" s="4" t="s">
        <v>18</v>
      </c>
      <c r="H43" s="3">
        <v>29.95</v>
      </c>
      <c r="I43" s="4">
        <v>1</v>
      </c>
      <c r="J43" s="4">
        <v>0</v>
      </c>
      <c r="K43" s="3">
        <f>H43*J43</f>
        <v>0</v>
      </c>
    </row>
    <row r="44" spans="2:13" hidden="1">
      <c r="B44" s="4" t="s">
        <v>174</v>
      </c>
      <c r="C44" s="4" t="s">
        <v>175</v>
      </c>
      <c r="D44" s="5" t="s">
        <v>176</v>
      </c>
      <c r="G44" s="4" t="s">
        <v>18</v>
      </c>
      <c r="H44" s="3">
        <v>34.950000000000003</v>
      </c>
      <c r="I44" s="4">
        <v>1</v>
      </c>
      <c r="J44" s="4">
        <v>0</v>
      </c>
      <c r="K44" s="3">
        <f>H44*J44</f>
        <v>0</v>
      </c>
    </row>
    <row r="45" spans="2:13" ht="25.5" hidden="1">
      <c r="B45" s="4" t="s">
        <v>138</v>
      </c>
      <c r="C45" s="4" t="s">
        <v>70</v>
      </c>
      <c r="D45" s="5" t="s">
        <v>71</v>
      </c>
      <c r="G45" s="4" t="s">
        <v>18</v>
      </c>
      <c r="H45" s="3">
        <v>9.9499999999999993</v>
      </c>
      <c r="I45" s="4">
        <v>2</v>
      </c>
      <c r="J45" s="4">
        <v>0</v>
      </c>
      <c r="K45" s="3">
        <f>H45*J45</f>
        <v>0</v>
      </c>
    </row>
    <row r="46" spans="2:13" hidden="1">
      <c r="B46" s="4" t="s">
        <v>129</v>
      </c>
      <c r="C46" s="4" t="s">
        <v>51</v>
      </c>
      <c r="G46" s="4" t="s">
        <v>18</v>
      </c>
      <c r="H46" s="3">
        <v>89.95</v>
      </c>
      <c r="I46" s="4">
        <v>1</v>
      </c>
      <c r="J46" s="4">
        <v>0</v>
      </c>
      <c r="K46" s="3">
        <f>H46*J46</f>
        <v>0</v>
      </c>
      <c r="M46" s="4" t="s">
        <v>166</v>
      </c>
    </row>
    <row r="47" spans="2:13" hidden="1">
      <c r="B47" s="4" t="s">
        <v>158</v>
      </c>
      <c r="C47" s="4" t="s">
        <v>157</v>
      </c>
      <c r="D47" s="5" t="s">
        <v>159</v>
      </c>
      <c r="E47" s="12" t="s">
        <v>161</v>
      </c>
      <c r="G47" s="4" t="s">
        <v>160</v>
      </c>
      <c r="H47" s="3">
        <v>25</v>
      </c>
      <c r="I47" s="4">
        <v>1</v>
      </c>
      <c r="J47" s="4">
        <v>0</v>
      </c>
      <c r="K47" s="3">
        <f>H47*J47</f>
        <v>0</v>
      </c>
    </row>
    <row r="48" spans="2:13" hidden="1">
      <c r="B48" s="4" t="s">
        <v>140</v>
      </c>
      <c r="C48" s="4" t="s">
        <v>93</v>
      </c>
      <c r="D48" s="5" t="s">
        <v>94</v>
      </c>
      <c r="G48" s="4" t="s">
        <v>18</v>
      </c>
      <c r="H48" s="3">
        <v>24.95</v>
      </c>
      <c r="I48" s="4">
        <v>1</v>
      </c>
      <c r="J48" s="4">
        <v>0</v>
      </c>
      <c r="K48" s="3">
        <f>H48*J48</f>
        <v>0</v>
      </c>
      <c r="L48" s="4" t="s">
        <v>170</v>
      </c>
      <c r="M48" s="4" t="s">
        <v>169</v>
      </c>
    </row>
    <row r="49" spans="2:13" hidden="1">
      <c r="B49" s="3" t="s">
        <v>30</v>
      </c>
      <c r="C49" s="4" t="s">
        <v>91</v>
      </c>
      <c r="D49" s="5" t="s">
        <v>92</v>
      </c>
      <c r="G49" s="4" t="s">
        <v>18</v>
      </c>
      <c r="H49" s="3">
        <v>5.95</v>
      </c>
      <c r="I49" s="4">
        <v>2</v>
      </c>
      <c r="J49" s="4">
        <v>0</v>
      </c>
      <c r="K49" s="3">
        <f>H49*J49</f>
        <v>0</v>
      </c>
    </row>
    <row r="50" spans="2:13" hidden="1">
      <c r="B50" s="4" t="s">
        <v>38</v>
      </c>
      <c r="D50" s="5" t="s">
        <v>39</v>
      </c>
      <c r="G50" s="4" t="s">
        <v>18</v>
      </c>
      <c r="H50" s="3">
        <v>15.95</v>
      </c>
      <c r="I50" s="4">
        <v>1</v>
      </c>
      <c r="J50" s="4">
        <v>0</v>
      </c>
      <c r="K50" s="3">
        <f>H50*J50</f>
        <v>0</v>
      </c>
    </row>
    <row r="51" spans="2:13" ht="12" hidden="1" customHeight="1">
      <c r="B51" s="4" t="s">
        <v>142</v>
      </c>
      <c r="C51" s="4" t="s">
        <v>97</v>
      </c>
      <c r="D51" s="5" t="s">
        <v>98</v>
      </c>
      <c r="G51" s="4" t="s">
        <v>18</v>
      </c>
      <c r="H51" s="3">
        <v>15.95</v>
      </c>
      <c r="I51" s="4">
        <v>1</v>
      </c>
      <c r="J51" s="4">
        <v>0</v>
      </c>
      <c r="K51" s="3">
        <f>H51*J51</f>
        <v>0</v>
      </c>
      <c r="M51" s="4" t="s">
        <v>171</v>
      </c>
    </row>
    <row r="52" spans="2:13" hidden="1">
      <c r="B52" s="4" t="s">
        <v>155</v>
      </c>
      <c r="C52" s="4" t="s">
        <v>154</v>
      </c>
      <c r="D52" s="5" t="s">
        <v>153</v>
      </c>
      <c r="G52" s="4" t="s">
        <v>18</v>
      </c>
      <c r="H52" s="3">
        <v>15.95</v>
      </c>
      <c r="I52" s="4">
        <v>1</v>
      </c>
      <c r="J52" s="4">
        <v>0</v>
      </c>
      <c r="K52" s="3">
        <f>H52*J52</f>
        <v>0</v>
      </c>
    </row>
    <row r="53" spans="2:13" hidden="1">
      <c r="C53" s="4" t="s">
        <v>121</v>
      </c>
      <c r="D53" s="5" t="s">
        <v>126</v>
      </c>
      <c r="G53" s="4" t="s">
        <v>18</v>
      </c>
      <c r="J53" s="4">
        <v>0</v>
      </c>
      <c r="K53" s="3">
        <f>H53*J53</f>
        <v>0</v>
      </c>
    </row>
    <row r="54" spans="2:13" hidden="1">
      <c r="B54" t="s">
        <v>261</v>
      </c>
      <c r="D54" s="5" t="s">
        <v>40</v>
      </c>
      <c r="G54" s="4" t="s">
        <v>18</v>
      </c>
      <c r="H54" s="3">
        <v>1.95</v>
      </c>
      <c r="I54" s="4">
        <v>1</v>
      </c>
      <c r="J54" s="4">
        <v>0</v>
      </c>
      <c r="K54" s="3">
        <f>H54*J54</f>
        <v>0</v>
      </c>
    </row>
    <row r="55" spans="2:13" hidden="1">
      <c r="B55" s="4" t="s">
        <v>131</v>
      </c>
      <c r="C55" s="4" t="s">
        <v>57</v>
      </c>
      <c r="D55" s="5" t="s">
        <v>58</v>
      </c>
      <c r="G55" s="4" t="s">
        <v>18</v>
      </c>
      <c r="H55" s="3">
        <v>1.95</v>
      </c>
      <c r="I55" s="4">
        <v>1</v>
      </c>
      <c r="J55" s="4">
        <v>0</v>
      </c>
      <c r="K55" s="3">
        <f>H55*J55</f>
        <v>0</v>
      </c>
    </row>
    <row r="56" spans="2:13" hidden="1">
      <c r="B56" s="4" t="s">
        <v>130</v>
      </c>
      <c r="C56" s="4" t="s">
        <v>53</v>
      </c>
      <c r="G56" s="4" t="s">
        <v>18</v>
      </c>
      <c r="H56" s="3">
        <v>79.95</v>
      </c>
      <c r="I56" s="4">
        <v>1</v>
      </c>
      <c r="J56" s="4">
        <v>0</v>
      </c>
      <c r="K56" s="3">
        <f>H56*J56</f>
        <v>0</v>
      </c>
    </row>
    <row r="57" spans="2:13" hidden="1">
      <c r="B57" s="4" t="s">
        <v>156</v>
      </c>
      <c r="C57" s="4" t="s">
        <v>60</v>
      </c>
      <c r="D57" s="5" t="s">
        <v>61</v>
      </c>
      <c r="G57" s="4" t="s">
        <v>18</v>
      </c>
      <c r="H57" s="3">
        <v>79.95</v>
      </c>
      <c r="I57" s="4">
        <v>1</v>
      </c>
      <c r="J57" s="4">
        <v>0</v>
      </c>
      <c r="K57" s="3">
        <f>H57*J57</f>
        <v>0</v>
      </c>
    </row>
    <row r="58" spans="2:13">
      <c r="B58" s="4" t="s">
        <v>206</v>
      </c>
      <c r="D58" s="2" t="s">
        <v>34</v>
      </c>
      <c r="E58" s="13" t="s">
        <v>207</v>
      </c>
      <c r="G58" s="4" t="s">
        <v>18</v>
      </c>
      <c r="H58" s="3">
        <v>0.95</v>
      </c>
      <c r="I58" t="s">
        <v>35</v>
      </c>
      <c r="J58" s="4">
        <v>2</v>
      </c>
      <c r="K58" s="3">
        <f>H58*J58</f>
        <v>1.9</v>
      </c>
    </row>
    <row r="59" spans="2:13" ht="16.5" hidden="1" customHeight="1">
      <c r="B59" s="4" t="s">
        <v>148</v>
      </c>
      <c r="C59" s="6" t="s">
        <v>115</v>
      </c>
      <c r="D59" s="5" t="s">
        <v>116</v>
      </c>
      <c r="G59" s="4" t="s">
        <v>18</v>
      </c>
      <c r="H59" s="3">
        <v>3.95</v>
      </c>
      <c r="I59" s="4">
        <v>12</v>
      </c>
      <c r="J59" s="4">
        <v>0</v>
      </c>
      <c r="K59" s="3">
        <f>H59*J59</f>
        <v>0</v>
      </c>
    </row>
    <row r="60" spans="2:13" hidden="1">
      <c r="B60" s="4" t="s">
        <v>23</v>
      </c>
      <c r="D60" s="5" t="s">
        <v>24</v>
      </c>
      <c r="G60" s="4" t="s">
        <v>18</v>
      </c>
      <c r="H60" s="3">
        <v>24.95</v>
      </c>
      <c r="I60" s="4">
        <v>1</v>
      </c>
      <c r="J60" s="4">
        <v>0</v>
      </c>
      <c r="K60" s="3">
        <f>H60*J60</f>
        <v>0</v>
      </c>
    </row>
    <row r="61" spans="2:13" hidden="1">
      <c r="B61" s="4" t="s">
        <v>149</v>
      </c>
      <c r="C61" s="4" t="s">
        <v>117</v>
      </c>
      <c r="D61" s="5" t="s">
        <v>118</v>
      </c>
      <c r="G61" s="4" t="s">
        <v>18</v>
      </c>
      <c r="H61" s="3">
        <v>4.95</v>
      </c>
      <c r="I61" s="4">
        <v>12</v>
      </c>
      <c r="J61" s="4">
        <v>0</v>
      </c>
      <c r="K61" s="3">
        <f>H61*J61</f>
        <v>0</v>
      </c>
    </row>
    <row r="62" spans="2:13" ht="25.5" hidden="1">
      <c r="B62" s="4" t="s">
        <v>23</v>
      </c>
      <c r="C62" s="4" t="s">
        <v>121</v>
      </c>
      <c r="D62" s="5" t="s">
        <v>127</v>
      </c>
      <c r="G62" s="4" t="s">
        <v>18</v>
      </c>
      <c r="H62" s="3">
        <v>24.95</v>
      </c>
      <c r="I62" s="4">
        <v>1</v>
      </c>
      <c r="J62" s="4">
        <v>0</v>
      </c>
      <c r="K62" s="3">
        <f>H62*J62</f>
        <v>0</v>
      </c>
    </row>
    <row r="64" spans="2:13" ht="14.25" customHeight="1"/>
    <row r="65" spans="1:11">
      <c r="J65" t="s">
        <v>282</v>
      </c>
      <c r="K65" s="3">
        <f>SUM(K3:K64)</f>
        <v>357.27</v>
      </c>
    </row>
    <row r="74" spans="1:11" ht="14.25" customHeight="1"/>
    <row r="75" spans="1:11" ht="17.25" customHeight="1">
      <c r="A75"/>
    </row>
    <row r="76" spans="1:11" ht="14.25" hidden="1" customHeight="1">
      <c r="C76"/>
    </row>
    <row r="77" spans="1:11" ht="16.5" customHeight="1"/>
    <row r="78" spans="1:11" ht="16.5" customHeight="1"/>
    <row r="79" spans="1:11" ht="16.5" customHeight="1"/>
    <row r="80" spans="1:11" ht="16.5" customHeight="1"/>
    <row r="81" spans="1:10" ht="14.25" customHeight="1"/>
    <row r="82" spans="1:10" ht="12.75" hidden="1" customHeight="1">
      <c r="B82"/>
      <c r="J82" s="10"/>
    </row>
    <row r="83" spans="1:10" ht="16.5" hidden="1" customHeight="1">
      <c r="D83" s="2"/>
    </row>
    <row r="84" spans="1:10" ht="27.75" hidden="1" customHeight="1">
      <c r="B84"/>
      <c r="D84" s="2"/>
      <c r="E84" s="13"/>
      <c r="J84" s="10"/>
    </row>
    <row r="85" spans="1:10" ht="16.5" customHeight="1"/>
    <row r="86" spans="1:10" ht="16.5" customHeight="1">
      <c r="B86"/>
      <c r="G86"/>
      <c r="J86" s="8"/>
    </row>
    <row r="87" spans="1:10" ht="16.5" customHeight="1">
      <c r="A87"/>
      <c r="B87"/>
      <c r="G87"/>
      <c r="J87" s="8"/>
    </row>
    <row r="88" spans="1:10" ht="16.5" customHeight="1"/>
    <row r="89" spans="1:10">
      <c r="A89"/>
    </row>
    <row r="90" spans="1:10">
      <c r="C90"/>
      <c r="D90" s="2"/>
    </row>
    <row r="91" spans="1:10">
      <c r="B91"/>
      <c r="D91" s="2"/>
      <c r="E91" s="13"/>
    </row>
    <row r="92" spans="1:10">
      <c r="A92"/>
      <c r="B92"/>
      <c r="D92" s="2"/>
      <c r="E92" s="13"/>
    </row>
    <row r="94" spans="1:10" hidden="1">
      <c r="B94"/>
      <c r="C94"/>
      <c r="D94" s="2"/>
    </row>
    <row r="95" spans="1:10">
      <c r="A95"/>
    </row>
    <row r="96" spans="1:10">
      <c r="B96"/>
      <c r="C96"/>
      <c r="D96" s="2"/>
      <c r="E96" s="13"/>
    </row>
    <row r="97" spans="1:12" hidden="1"/>
    <row r="98" spans="1:12" hidden="1"/>
    <row r="99" spans="1:12" hidden="1"/>
    <row r="100" spans="1:12" hidden="1"/>
    <row r="101" spans="1:12" hidden="1"/>
    <row r="102" spans="1:12" ht="17.25" hidden="1" customHeight="1"/>
    <row r="103" spans="1:12" hidden="1"/>
    <row r="104" spans="1:12">
      <c r="A104"/>
      <c r="B104"/>
      <c r="C104"/>
      <c r="D104" s="2"/>
      <c r="E104" s="13"/>
    </row>
    <row r="107" spans="1:12" hidden="1"/>
    <row r="108" spans="1:12" hidden="1">
      <c r="L108" s="8"/>
    </row>
    <row r="109" spans="1:12" hidden="1"/>
    <row r="112" spans="1:12" hidden="1">
      <c r="J112" s="10"/>
    </row>
    <row r="116" spans="3:4" hidden="1"/>
    <row r="117" spans="3:4" hidden="1"/>
    <row r="118" spans="3:4" hidden="1">
      <c r="D118" s="2"/>
    </row>
    <row r="121" spans="3:4" hidden="1"/>
    <row r="122" spans="3:4" hidden="1"/>
    <row r="128" spans="3:4">
      <c r="C128" s="11"/>
    </row>
    <row r="129" spans="3:4">
      <c r="C129"/>
    </row>
    <row r="130" spans="3:4">
      <c r="C130" s="11"/>
    </row>
    <row r="131" spans="3:4">
      <c r="C131" s="11"/>
    </row>
    <row r="132" spans="3:4">
      <c r="C132"/>
      <c r="D132" s="2"/>
    </row>
    <row r="133" spans="3:4">
      <c r="C133" s="9"/>
    </row>
  </sheetData>
  <sortState ref="A2:M60">
    <sortCondition ref="G2:G60"/>
  </sortState>
  <pageMargins left="0.78749999999999998" right="0.78749999999999998" top="1.0249999999999999" bottom="1.0249999999999999" header="0.78749999999999998" footer="0.78749999999999998"/>
  <pageSetup orientation="portrait" useFirstPageNumber="1" horizontalDpi="0" verticalDpi="0" r:id="rId1"/>
  <headerFooter>
    <oddHeader>&amp;C&amp;A</oddHeader>
    <oddFooter>&amp;CPage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Priority order</vt:lpstr>
      <vt:lpstr>Inwork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McMillan</dc:creator>
  <cp:lastModifiedBy>Mike McMillan</cp:lastModifiedBy>
  <cp:revision>4</cp:revision>
  <dcterms:created xsi:type="dcterms:W3CDTF">2015-08-27T18:44:15Z</dcterms:created>
  <dcterms:modified xsi:type="dcterms:W3CDTF">2015-09-29T05:51:16Z</dcterms:modified>
  <dc:language>en-US</dc:language>
</cp:coreProperties>
</file>