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tabRatio="978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J25" i="1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N4"/>
  <c r="J4"/>
  <c r="N2"/>
  <c r="L2"/>
  <c r="J2"/>
  <c r="J38" s="1"/>
</calcChain>
</file>

<file path=xl/sharedStrings.xml><?xml version="1.0" encoding="utf-8"?>
<sst xmlns="http://schemas.openxmlformats.org/spreadsheetml/2006/main" count="96" uniqueCount="77">
  <si>
    <t>part Number</t>
  </si>
  <si>
    <t>Description</t>
  </si>
  <si>
    <t>size</t>
  </si>
  <si>
    <t>Color</t>
  </si>
  <si>
    <t>Vendor</t>
  </si>
  <si>
    <t>Price</t>
  </si>
  <si>
    <t>units/pack</t>
  </si>
  <si>
    <t>Quantity</t>
  </si>
  <si>
    <t>Total</t>
  </si>
  <si>
    <t>AZ39069</t>
  </si>
  <si>
    <t>C-channel</t>
  </si>
  <si>
    <t>416mm</t>
  </si>
  <si>
    <t>Pitsco(Tetrix)</t>
  </si>
  <si>
    <t>AZ39281</t>
  </si>
  <si>
    <t>Inside Corner Bracket</t>
  </si>
  <si>
    <t>AZ39098</t>
  </si>
  <si>
    <t>Small screw</t>
  </si>
  <si>
    <t>Small</t>
  </si>
  <si>
    <t>pitsco(Tetrix)</t>
  </si>
  <si>
    <t>AZ39097</t>
  </si>
  <si>
    <t>Medium screw</t>
  </si>
  <si>
    <t>Medium</t>
  </si>
  <si>
    <t>Pitsco(tetrix)</t>
  </si>
  <si>
    <t>AZ39094</t>
  </si>
  <si>
    <t>Kep Nuts</t>
  </si>
  <si>
    <t>AZ39111</t>
  </si>
  <si>
    <t>Flat screws</t>
  </si>
  <si>
    <t>3 8</t>
  </si>
  <si>
    <t>AZ39197</t>
  </si>
  <si>
    <t>180 servo</t>
  </si>
  <si>
    <t>AZ39172</t>
  </si>
  <si>
    <t>Axle Hub</t>
  </si>
  <si>
    <t>Axle</t>
  </si>
  <si>
    <t>AZ39088</t>
  </si>
  <si>
    <t>Axle</t>
  </si>
  <si>
    <t>100mm</t>
  </si>
  <si>
    <t>AZ35871</t>
  </si>
  <si>
    <t>250mm</t>
  </si>
  <si>
    <t>AZ39079</t>
  </si>
  <si>
    <t>Motor Shaft Hubs</t>
  </si>
  <si>
    <t>Motor</t>
  </si>
  <si>
    <t>AZ39173</t>
  </si>
  <si>
    <t>Chain with Links</t>
  </si>
  <si>
    <t>5 feet</t>
  </si>
  <si>
    <t>AZ39057</t>
  </si>
  <si>
    <t>12volt nimh battery pack</t>
  </si>
  <si>
    <t>12 volt</t>
  </si>
  <si>
    <t>AZ39104</t>
  </si>
  <si>
    <t>Hex Keys</t>
  </si>
  <si>
    <t>Each size</t>
  </si>
  <si>
    <t>4 each size</t>
  </si>
  <si>
    <t>AZ39217</t>
  </si>
  <si>
    <t>Chain Breaker Tool</t>
  </si>
  <si>
    <t>motor controller</t>
  </si>
  <si>
    <t>servo controller</t>
  </si>
  <si>
    <t>AZ39055</t>
  </si>
  <si>
    <t>Wheel</t>
  </si>
  <si>
    <t>4”</t>
  </si>
  <si>
    <t>AZ39089</t>
  </si>
  <si>
    <t>Motor Mount</t>
  </si>
  <si>
    <t>AZ31903</t>
  </si>
  <si>
    <t>Motor power cable</t>
  </si>
  <si>
    <t>8800k43</t>
  </si>
  <si>
    <t>Kevlar Thread</t>
  </si>
  <si>
    <t>McMaster carr</t>
  </si>
  <si>
    <t>66 yards</t>
  </si>
  <si>
    <t>87635k63</t>
  </si>
  <si>
    <t>polyester thread</t>
  </si>
  <si>
    <t>120 yards</t>
  </si>
  <si>
    <t>3434T33</t>
  </si>
  <si>
    <t>tread pulleys</t>
  </si>
  <si>
    <t>3 64</t>
  </si>
  <si>
    <t>MCMaster carr</t>
  </si>
  <si>
    <t>TOTAL</t>
  </si>
  <si>
    <t>Core_motor Controller</t>
  </si>
  <si>
    <t>Core_Power_Distribution_Module</t>
  </si>
  <si>
    <t>Core_Servo_Controller</t>
  </si>
</sst>
</file>

<file path=xl/styles.xml><?xml version="1.0" encoding="utf-8"?>
<styleSheet xmlns="http://schemas.openxmlformats.org/spreadsheetml/2006/main">
  <numFmts count="1">
    <numFmt numFmtId="164" formatCode="[$$-409]#,##0.00;[Red]\-[$$-409]#,##0.00"/>
  </numFmts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N38"/>
  <sheetViews>
    <sheetView tabSelected="1" zoomScaleNormal="100" workbookViewId="0">
      <selection sqref="A1:A1048576"/>
    </sheetView>
  </sheetViews>
  <sheetFormatPr defaultRowHeight="12.75"/>
  <cols>
    <col min="2" max="2" width="25.28515625" customWidth="1"/>
    <col min="3" max="3" width="20.5703125"/>
    <col min="4" max="4" width="9.140625" customWidth="1"/>
    <col min="5" max="5" width="6" customWidth="1"/>
    <col min="6" max="6" width="13.28515625"/>
    <col min="7" max="7" width="9" style="1" customWidth="1"/>
    <col min="8" max="9" width="8.85546875" customWidth="1"/>
    <col min="10" max="10" width="11.5703125" style="1"/>
    <col min="11" max="1026" width="11.5703125"/>
  </cols>
  <sheetData>
    <row r="1" spans="2:14"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s="1" t="s">
        <v>8</v>
      </c>
    </row>
    <row r="2" spans="2:14">
      <c r="B2" t="s">
        <v>9</v>
      </c>
      <c r="C2" t="s">
        <v>10</v>
      </c>
      <c r="D2" t="s">
        <v>11</v>
      </c>
      <c r="F2" t="s">
        <v>12</v>
      </c>
      <c r="G2" s="1">
        <v>17.95</v>
      </c>
      <c r="H2">
        <v>1</v>
      </c>
      <c r="I2">
        <v>4</v>
      </c>
      <c r="J2" s="1">
        <f>G2*I2</f>
        <v>71.8</v>
      </c>
      <c r="L2">
        <f>416/25</f>
        <v>16.64</v>
      </c>
      <c r="M2">
        <v>416</v>
      </c>
      <c r="N2">
        <f>M2/25</f>
        <v>16.64</v>
      </c>
    </row>
    <row r="4" spans="2:14">
      <c r="B4" t="s">
        <v>13</v>
      </c>
      <c r="C4" t="s">
        <v>14</v>
      </c>
      <c r="F4" t="s">
        <v>12</v>
      </c>
      <c r="G4" s="1">
        <v>4.95</v>
      </c>
      <c r="H4">
        <v>2</v>
      </c>
      <c r="I4">
        <v>4</v>
      </c>
      <c r="J4" s="1">
        <f t="shared" ref="J4:J25" si="0">G4*I4</f>
        <v>19.8</v>
      </c>
      <c r="M4">
        <v>288</v>
      </c>
      <c r="N4">
        <f>M4/25</f>
        <v>11.52</v>
      </c>
    </row>
    <row r="5" spans="2:14">
      <c r="B5" t="s">
        <v>15</v>
      </c>
      <c r="C5" t="s">
        <v>16</v>
      </c>
      <c r="D5" t="s">
        <v>17</v>
      </c>
      <c r="F5" t="s">
        <v>18</v>
      </c>
      <c r="G5" s="1">
        <v>9.9499999999999993</v>
      </c>
      <c r="H5">
        <v>100</v>
      </c>
      <c r="I5">
        <v>1</v>
      </c>
      <c r="J5" s="1">
        <f t="shared" si="0"/>
        <v>9.9499999999999993</v>
      </c>
    </row>
    <row r="6" spans="2:14">
      <c r="B6" t="s">
        <v>19</v>
      </c>
      <c r="C6" t="s">
        <v>20</v>
      </c>
      <c r="D6" t="s">
        <v>21</v>
      </c>
      <c r="F6" t="s">
        <v>22</v>
      </c>
      <c r="G6" s="1">
        <v>9.9499999999999993</v>
      </c>
      <c r="H6">
        <v>100</v>
      </c>
      <c r="I6">
        <v>1</v>
      </c>
      <c r="J6" s="1">
        <f t="shared" si="0"/>
        <v>9.9499999999999993</v>
      </c>
    </row>
    <row r="7" spans="2:14">
      <c r="B7" t="s">
        <v>23</v>
      </c>
      <c r="C7" t="s">
        <v>24</v>
      </c>
      <c r="F7" t="s">
        <v>22</v>
      </c>
      <c r="G7" s="1">
        <v>2.95</v>
      </c>
      <c r="H7">
        <v>100</v>
      </c>
      <c r="I7">
        <v>2</v>
      </c>
      <c r="J7" s="1">
        <f t="shared" si="0"/>
        <v>5.9</v>
      </c>
    </row>
    <row r="8" spans="2:14">
      <c r="B8" t="s">
        <v>25</v>
      </c>
      <c r="C8" t="s">
        <v>26</v>
      </c>
      <c r="D8" t="s">
        <v>27</v>
      </c>
      <c r="F8" t="s">
        <v>22</v>
      </c>
      <c r="G8" s="1">
        <v>8.9499999999999993</v>
      </c>
      <c r="H8">
        <v>50</v>
      </c>
      <c r="I8">
        <v>1</v>
      </c>
      <c r="J8" s="1">
        <f t="shared" si="0"/>
        <v>8.9499999999999993</v>
      </c>
    </row>
    <row r="9" spans="2:14">
      <c r="B9" t="s">
        <v>28</v>
      </c>
      <c r="C9" t="s">
        <v>29</v>
      </c>
      <c r="F9" t="s">
        <v>22</v>
      </c>
      <c r="G9" s="1">
        <v>24.95</v>
      </c>
      <c r="H9">
        <v>1</v>
      </c>
      <c r="I9">
        <v>4</v>
      </c>
      <c r="J9" s="1">
        <f t="shared" si="0"/>
        <v>99.8</v>
      </c>
    </row>
    <row r="10" spans="2:14">
      <c r="B10" t="s">
        <v>30</v>
      </c>
      <c r="C10" t="s">
        <v>31</v>
      </c>
      <c r="D10" t="s">
        <v>32</v>
      </c>
      <c r="F10" t="s">
        <v>22</v>
      </c>
      <c r="G10" s="1">
        <v>6.95</v>
      </c>
      <c r="H10">
        <v>2</v>
      </c>
      <c r="I10">
        <v>4</v>
      </c>
      <c r="J10" s="1">
        <f t="shared" si="0"/>
        <v>27.8</v>
      </c>
    </row>
    <row r="11" spans="2:14">
      <c r="B11" t="s">
        <v>33</v>
      </c>
      <c r="C11" t="s">
        <v>34</v>
      </c>
      <c r="D11" t="s">
        <v>35</v>
      </c>
      <c r="F11" t="s">
        <v>22</v>
      </c>
      <c r="G11" s="1">
        <v>15.95</v>
      </c>
      <c r="H11">
        <v>6</v>
      </c>
      <c r="I11">
        <v>1</v>
      </c>
      <c r="J11" s="1">
        <f t="shared" si="0"/>
        <v>15.95</v>
      </c>
    </row>
    <row r="12" spans="2:14">
      <c r="B12" t="s">
        <v>36</v>
      </c>
      <c r="C12" t="s">
        <v>34</v>
      </c>
      <c r="D12" t="s">
        <v>37</v>
      </c>
      <c r="F12" t="s">
        <v>22</v>
      </c>
      <c r="G12" s="1">
        <v>15.95</v>
      </c>
      <c r="H12">
        <v>3</v>
      </c>
      <c r="I12">
        <v>2</v>
      </c>
      <c r="J12" s="1">
        <f t="shared" si="0"/>
        <v>31.9</v>
      </c>
    </row>
    <row r="13" spans="2:14">
      <c r="B13" t="s">
        <v>38</v>
      </c>
      <c r="C13" t="s">
        <v>39</v>
      </c>
      <c r="D13" t="s">
        <v>40</v>
      </c>
      <c r="F13" t="s">
        <v>22</v>
      </c>
      <c r="G13" s="1">
        <v>5.95</v>
      </c>
      <c r="H13">
        <v>2</v>
      </c>
      <c r="I13">
        <v>2</v>
      </c>
      <c r="J13" s="1">
        <f t="shared" si="0"/>
        <v>11.9</v>
      </c>
    </row>
    <row r="14" spans="2:14">
      <c r="B14" t="s">
        <v>41</v>
      </c>
      <c r="C14" t="s">
        <v>42</v>
      </c>
      <c r="F14" t="s">
        <v>22</v>
      </c>
      <c r="G14" s="1">
        <v>13.95</v>
      </c>
      <c r="H14" t="s">
        <v>43</v>
      </c>
      <c r="I14">
        <v>1</v>
      </c>
      <c r="J14" s="1">
        <f t="shared" si="0"/>
        <v>13.95</v>
      </c>
    </row>
    <row r="15" spans="2:14">
      <c r="B15" t="s">
        <v>44</v>
      </c>
      <c r="C15" t="s">
        <v>45</v>
      </c>
      <c r="D15" t="s">
        <v>46</v>
      </c>
      <c r="F15" t="s">
        <v>22</v>
      </c>
      <c r="G15" s="1">
        <v>49.95</v>
      </c>
      <c r="H15">
        <v>1</v>
      </c>
      <c r="I15">
        <v>2</v>
      </c>
      <c r="J15" s="1">
        <f t="shared" si="0"/>
        <v>99.9</v>
      </c>
    </row>
    <row r="16" spans="2:14">
      <c r="B16" t="s">
        <v>47</v>
      </c>
      <c r="C16" t="s">
        <v>48</v>
      </c>
      <c r="D16" t="s">
        <v>49</v>
      </c>
      <c r="F16" t="s">
        <v>22</v>
      </c>
      <c r="G16" s="1">
        <v>0.95</v>
      </c>
      <c r="H16" t="s">
        <v>50</v>
      </c>
      <c r="I16">
        <v>15</v>
      </c>
      <c r="J16" s="1">
        <f t="shared" si="0"/>
        <v>14.25</v>
      </c>
    </row>
    <row r="17" spans="2:10">
      <c r="B17" t="s">
        <v>51</v>
      </c>
      <c r="C17" t="s">
        <v>52</v>
      </c>
      <c r="F17" t="s">
        <v>22</v>
      </c>
      <c r="G17" s="1">
        <v>16.95</v>
      </c>
      <c r="H17">
        <v>1</v>
      </c>
      <c r="I17">
        <v>1</v>
      </c>
      <c r="J17" s="1">
        <f t="shared" si="0"/>
        <v>16.95</v>
      </c>
    </row>
    <row r="18" spans="2:10">
      <c r="C18" t="s">
        <v>53</v>
      </c>
      <c r="F18" t="s">
        <v>22</v>
      </c>
      <c r="J18" s="1">
        <f t="shared" si="0"/>
        <v>0</v>
      </c>
    </row>
    <row r="19" spans="2:10">
      <c r="C19" t="s">
        <v>54</v>
      </c>
      <c r="F19" t="s">
        <v>22</v>
      </c>
      <c r="J19" s="1">
        <f t="shared" si="0"/>
        <v>0</v>
      </c>
    </row>
    <row r="20" spans="2:10">
      <c r="B20" t="s">
        <v>55</v>
      </c>
      <c r="C20" t="s">
        <v>56</v>
      </c>
      <c r="D20" t="s">
        <v>57</v>
      </c>
      <c r="F20" t="s">
        <v>22</v>
      </c>
      <c r="G20" s="1">
        <v>19.95</v>
      </c>
      <c r="H20">
        <v>1</v>
      </c>
      <c r="I20">
        <v>4</v>
      </c>
      <c r="J20" s="1">
        <f t="shared" si="0"/>
        <v>79.8</v>
      </c>
    </row>
    <row r="21" spans="2:10">
      <c r="B21" t="s">
        <v>58</v>
      </c>
      <c r="C21" t="s">
        <v>59</v>
      </c>
      <c r="F21" t="s">
        <v>22</v>
      </c>
      <c r="G21" s="1">
        <v>15.95</v>
      </c>
      <c r="H21">
        <v>1</v>
      </c>
      <c r="I21">
        <v>6</v>
      </c>
      <c r="J21" s="1">
        <f t="shared" si="0"/>
        <v>95.699999999999989</v>
      </c>
    </row>
    <row r="22" spans="2:10">
      <c r="B22" t="s">
        <v>60</v>
      </c>
      <c r="C22" t="s">
        <v>61</v>
      </c>
      <c r="F22" t="s">
        <v>22</v>
      </c>
      <c r="G22" s="1">
        <v>1.95</v>
      </c>
      <c r="H22">
        <v>1</v>
      </c>
      <c r="I22">
        <v>5</v>
      </c>
      <c r="J22" s="1">
        <f t="shared" si="0"/>
        <v>9.75</v>
      </c>
    </row>
    <row r="23" spans="2:10">
      <c r="B23" t="s">
        <v>62</v>
      </c>
      <c r="C23" t="s">
        <v>63</v>
      </c>
      <c r="D23">
        <v>346</v>
      </c>
      <c r="F23" t="s">
        <v>64</v>
      </c>
      <c r="G23" s="1">
        <v>27.17</v>
      </c>
      <c r="H23" t="s">
        <v>65</v>
      </c>
      <c r="I23">
        <v>1</v>
      </c>
      <c r="J23" s="1">
        <f t="shared" si="0"/>
        <v>27.17</v>
      </c>
    </row>
    <row r="24" spans="2:10">
      <c r="B24" t="s">
        <v>66</v>
      </c>
      <c r="C24" t="s">
        <v>67</v>
      </c>
      <c r="D24">
        <v>693</v>
      </c>
      <c r="F24" t="s">
        <v>64</v>
      </c>
      <c r="G24" s="1">
        <v>12.77</v>
      </c>
      <c r="H24" t="s">
        <v>68</v>
      </c>
      <c r="I24">
        <v>1</v>
      </c>
      <c r="J24" s="1">
        <f t="shared" si="0"/>
        <v>12.77</v>
      </c>
    </row>
    <row r="25" spans="2:10">
      <c r="B25" t="s">
        <v>69</v>
      </c>
      <c r="C25" t="s">
        <v>70</v>
      </c>
      <c r="D25" t="s">
        <v>71</v>
      </c>
      <c r="F25" t="s">
        <v>72</v>
      </c>
      <c r="G25" s="1">
        <v>1.52</v>
      </c>
      <c r="H25">
        <v>1</v>
      </c>
      <c r="I25">
        <v>4</v>
      </c>
      <c r="J25" s="1">
        <f t="shared" si="0"/>
        <v>6.08</v>
      </c>
    </row>
    <row r="28" spans="2:10">
      <c r="C28" t="s">
        <v>74</v>
      </c>
    </row>
    <row r="29" spans="2:10">
      <c r="C29" t="s">
        <v>75</v>
      </c>
    </row>
    <row r="30" spans="2:10">
      <c r="C30" t="s">
        <v>76</v>
      </c>
    </row>
    <row r="38" spans="2:10">
      <c r="B38" t="s">
        <v>73</v>
      </c>
      <c r="J38" s="1">
        <f>SUM(J2:J22)</f>
        <v>644</v>
      </c>
    </row>
  </sheetData>
  <pageMargins left="0.78749999999999998" right="0.78749999999999998" top="1.0249999999999999" bottom="1.0249999999999999" header="0.78749999999999998" footer="0.78749999999999998"/>
  <pageSetup paperSize="0" scale="0" orientation="portrait" usePrinterDefaults="0" useFirstPageNumber="1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McMillan</cp:lastModifiedBy>
  <cp:revision>4</cp:revision>
  <dcterms:created xsi:type="dcterms:W3CDTF">2015-08-27T18:44:15Z</dcterms:created>
  <dcterms:modified xsi:type="dcterms:W3CDTF">2015-09-01T01:02:12Z</dcterms:modified>
  <dc:language>en-US</dc:language>
</cp:coreProperties>
</file>