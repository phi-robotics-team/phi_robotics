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/>
  </bookViews>
  <sheets>
    <sheet name="order (4)" sheetId="5" r:id="rId1"/>
    <sheet name="order (3)" sheetId="4" r:id="rId2"/>
    <sheet name="order" sheetId="2" r:id="rId3"/>
    <sheet name="order (2)" sheetId="3" r:id="rId4"/>
    <sheet name="Sheet1" sheetId="1" r:id="rId5"/>
  </sheets>
  <calcPr calcId="125725"/>
</workbook>
</file>

<file path=xl/calcChain.xml><?xml version="1.0" encoding="utf-8"?>
<calcChain xmlns="http://schemas.openxmlformats.org/spreadsheetml/2006/main">
  <c r="K78" i="5"/>
  <c r="K71"/>
  <c r="K126" s="1"/>
  <c r="K68"/>
  <c r="K93"/>
  <c r="K67"/>
  <c r="K90"/>
  <c r="K77"/>
  <c r="K87"/>
  <c r="K86"/>
  <c r="K82"/>
  <c r="K83"/>
  <c r="K123"/>
  <c r="K122"/>
  <c r="K121"/>
  <c r="K120"/>
  <c r="K117"/>
  <c r="K116"/>
  <c r="K115"/>
  <c r="K112"/>
  <c r="K111"/>
  <c r="K108"/>
  <c r="K107"/>
  <c r="K106"/>
  <c r="K102"/>
  <c r="K101"/>
  <c r="K100"/>
  <c r="K99"/>
  <c r="K98"/>
  <c r="K97"/>
  <c r="K96"/>
  <c r="K81"/>
  <c r="K76"/>
  <c r="K65"/>
  <c r="K66"/>
  <c r="K64"/>
  <c r="K61"/>
  <c r="K60"/>
  <c r="K59"/>
  <c r="K56"/>
  <c r="K55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K70" i="4"/>
  <c r="K93"/>
  <c r="K94"/>
  <c r="K105"/>
  <c r="K104"/>
  <c r="K103"/>
  <c r="K102"/>
  <c r="K99"/>
  <c r="K98"/>
  <c r="K97"/>
  <c r="K90"/>
  <c r="K89"/>
  <c r="K88"/>
  <c r="K84"/>
  <c r="K83"/>
  <c r="K82"/>
  <c r="K81"/>
  <c r="K80"/>
  <c r="K79"/>
  <c r="K78"/>
  <c r="K74"/>
  <c r="K73"/>
  <c r="K66"/>
  <c r="K65"/>
  <c r="K64"/>
  <c r="K61"/>
  <c r="K60"/>
  <c r="K59"/>
  <c r="K56"/>
  <c r="K55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J85" i="3"/>
  <c r="K26" i="2"/>
  <c r="K61"/>
  <c r="K13"/>
  <c r="K35"/>
  <c r="K34"/>
  <c r="K33"/>
  <c r="J84" i="3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43" i="2"/>
  <c r="K42"/>
  <c r="K65"/>
  <c r="K66"/>
  <c r="K38"/>
  <c r="K54"/>
  <c r="K73"/>
  <c r="K56"/>
  <c r="K87"/>
  <c r="K40"/>
  <c r="K72"/>
  <c r="K86"/>
  <c r="K88"/>
  <c r="K60"/>
  <c r="K10"/>
  <c r="K11"/>
  <c r="K7"/>
  <c r="K6"/>
  <c r="K5"/>
  <c r="K4"/>
  <c r="K3"/>
  <c r="K16"/>
  <c r="K17"/>
  <c r="K20"/>
  <c r="K48"/>
  <c r="K47"/>
  <c r="K39"/>
  <c r="K50"/>
  <c r="K41"/>
  <c r="K102"/>
  <c r="K27"/>
  <c r="K79"/>
  <c r="K80"/>
  <c r="K81"/>
  <c r="K28"/>
  <c r="K29"/>
  <c r="K100"/>
  <c r="K101"/>
  <c r="K82"/>
  <c r="K103"/>
  <c r="K52"/>
  <c r="K51"/>
  <c r="K46"/>
  <c r="K55"/>
  <c r="K64"/>
  <c r="K97"/>
  <c r="K96"/>
  <c r="K95"/>
  <c r="K53"/>
  <c r="K49"/>
  <c r="K92"/>
  <c r="K91"/>
  <c r="K32"/>
  <c r="K24"/>
  <c r="K23"/>
  <c r="K106" s="1"/>
  <c r="K25"/>
  <c r="K59"/>
  <c r="K78"/>
  <c r="K77"/>
  <c r="K76"/>
  <c r="K1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108" i="4" l="1"/>
</calcChain>
</file>

<file path=xl/comments1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3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4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5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<sst xmlns="http://schemas.openxmlformats.org/spreadsheetml/2006/main" count="1545" uniqueCount="320">
  <si>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</si>
  <si>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</si>
  <si>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</si>
  <si>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</si>
  <si>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</si>
  <si>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</si>
  <si>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</si>
  <si>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</si>
  <si>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</si>
  <si>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</si>
  <si>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</si>
  <si>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</si>
  <si>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</si>
  <si>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</si>
  <si>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</si>
  <si>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</si>
  <si>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</si>
  <si>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</si>
  <si>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</si>
  <si>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</si>
  <si>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</si>
  <si>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</si>
  <si>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</si>
  <si>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</si>
  <si>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</si>
  <si>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</si>
  <si>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</si>
  <si>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</si>
  <si>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</si>
  <si>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</si>
  <si>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</si>
  <si>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</si>
  <si>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</si>
  <si>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</si>
  <si>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</si>
  <si>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</si>
  <si>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</si>
  <si>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</si>
  <si>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</si>
  <si>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</si>
  <si>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</si>
  <si>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</si>
  <si>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</si>
  <si>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</si>
  <si>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</si>
  <si>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</si>
  <si>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</si>
  <si>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</si>
  <si>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</si>
  <si>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</si>
  <si>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</si>
  <si>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</si>
  <si>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</si>
  <si>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</si>
  <si>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</si>
  <si>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</si>
  <si>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</si>
  <si>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</si>
  <si>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</si>
  <si>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</si>
  <si>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</si>
  <si>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</si>
  <si>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</si>
  <si>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</si>
  <si>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</si>
  <si>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</si>
  <si>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</si>
  <si>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</si>
  <si>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</si>
  <si>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</si>
  <si>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</si>
  <si>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</si>
  <si>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</si>
  <si>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</si>
  <si>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</si>
  <si>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</si>
  <si>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</si>
  <si>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</si>
  <si>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</si>
  <si>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</si>
  <si>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</si>
  <si>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</si>
  <si>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</si>
  <si>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</si>
  <si>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</si>
  <si>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</si>
  <si>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</si>
  <si>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</si>
  <si>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</si>
  <si>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</si>
  <si>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</si>
  <si>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</si>
  <si>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</si>
  <si>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</si>
  <si>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</si>
  <si>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</si>
  <si>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</si>
  <si>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</si>
  <si>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</si>
  <si>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</si>
  <si>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</si>
  <si>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</si>
  <si>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</si>
  <si>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</si>
  <si>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</si>
  <si>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</si>
  <si>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</si>
  <si>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</si>
  <si>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</si>
  <si>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</si>
  <si>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</si>
  <si>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</si>
  <si>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</si>
  <si>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</si>
  <si>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</si>
  <si>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</si>
  <si>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</si>
  <si>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</si>
  <si>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</si>
  <si>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</si>
  <si>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</si>
  <si>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</si>
  <si>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</si>
  <si>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</si>
  <si>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</si>
  <si>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</si>
  <si>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</si>
  <si>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</si>
  <si>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</si>
  <si>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</si>
  <si>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</si>
  <si>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</si>
  <si>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</si>
  <si>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</si>
  <si>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</si>
  <si>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</si>
  <si>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</si>
  <si>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</si>
  <si>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</si>
  <si>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</si>
  <si>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</si>
  <si>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</si>
  <si>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</si>
  <si>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</si>
  <si>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</si>
  <si>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</si>
  <si>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</si>
  <si>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</si>
  <si>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</si>
  <si>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</si>
  <si>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</si>
  <si>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</si>
  <si>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</si>
  <si>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</si>
  <si>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</si>
  <si>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</si>
  <si>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</si>
  <si>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</si>
  <si>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</si>
  <si>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</si>
  <si>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</si>
  <si>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</si>
  <si>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</si>
  <si>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</si>
  <si>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</si>
  <si>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</si>
  <si>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</si>
  <si>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</si>
  <si>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</si>
  <si>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</si>
  <si>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</si>
  <si>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</si>
  <si>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</si>
  <si>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</si>
  <si>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</si>
  <si>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</si>
  <si>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</si>
  <si>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</si>
  <si>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</si>
  <si>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</si>
  <si>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</si>
  <si>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</si>
  <si>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</si>
  <si>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</si>
  <si>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</si>
  <si>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</si>
  <si>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</si>
  <si>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</si>
  <si>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</si>
  <si>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</si>
  <si>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</si>
  <si>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</si>
  <si>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</si>
  <si>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</si>
  <si>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</si>
  <si>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</si>
  <si>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</si>
  <si>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</si>
  <si>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</si>
  <si>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</si>
  <si>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</si>
  <si>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</si>
  <si>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</si>
  <si>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</si>
  <si>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</si>
  <si>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</si>
  <si>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</si>
  <si>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</si>
  <si>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</si>
  <si>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</si>
  <si>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</si>
  <si>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</si>
  <si>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</si>
  <si>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</si>
  <si>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</si>
  <si>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</si>
  <si>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</si>
  <si>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</si>
  <si>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</si>
  <si>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</si>
  <si>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</si>
  <si>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</si>
  <si>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</si>
  <si>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</si>
  <si>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</si>
  <si>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</si>
  <si>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</si>
  <si>
    <t>Brackets</t>
  </si>
  <si>
    <t>Channels</t>
  </si>
  <si>
    <t>Angles</t>
  </si>
  <si>
    <t>Flat Building Plate</t>
  </si>
  <si>
    <t>Plates</t>
  </si>
  <si>
    <t>Wheels</t>
  </si>
  <si>
    <t>Axles/Shafts</t>
  </si>
  <si>
    <t>Screws/Nuts</t>
  </si>
  <si>
    <t>Servo's</t>
  </si>
  <si>
    <t>Chains/Sprockets</t>
  </si>
  <si>
    <t>Batteries</t>
  </si>
  <si>
    <t>Tools</t>
  </si>
  <si>
    <t>Miscellaneous Small Parts</t>
  </si>
  <si>
    <t>Motors</t>
  </si>
  <si>
    <t>Controllers / Power distribution</t>
  </si>
  <si>
    <t>12 Volt - NIMH</t>
  </si>
  <si>
    <t>Gears</t>
  </si>
  <si>
    <t>Wires</t>
  </si>
  <si>
    <t>Coiled wire (McMaster-Carr)</t>
  </si>
  <si>
    <t>Power (14 gauge (black white)</t>
  </si>
  <si>
    <t>thread pulleys</t>
  </si>
  <si>
    <t xml:space="preserve"> (McMaster-Carr)</t>
  </si>
  <si>
    <t>Retracting Cable (300V AC-Light Duty)</t>
  </si>
  <si>
    <t>18 Gauge 2 wire</t>
  </si>
  <si>
    <t>TETRIX MAX Omni Wheel Pack</t>
  </si>
  <si>
    <t>4 inch</t>
  </si>
  <si>
    <t>W36466</t>
  </si>
  <si>
    <t>W39104</t>
  </si>
  <si>
    <t>7/64, 3/32, 1/16, 5/64</t>
  </si>
  <si>
    <t>7088k211</t>
  </si>
  <si>
    <t>2ft, 18ga</t>
  </si>
  <si>
    <t>4"</t>
  </si>
  <si>
    <t>Color Sensor</t>
  </si>
  <si>
    <t>Polycarbonate</t>
  </si>
  <si>
    <t>Tread &amp; Inserts</t>
  </si>
  <si>
    <t>Check with Caddics</t>
  </si>
  <si>
    <t>Tread Kits</t>
  </si>
  <si>
    <t>W36468</t>
  </si>
  <si>
    <t>Tetrix Max Tank Tread Kit</t>
  </si>
  <si>
    <t>Pitsco (Tetrix)</t>
  </si>
  <si>
    <t>W36464</t>
  </si>
  <si>
    <t>Tetrix Max Tank Tread Inserts</t>
  </si>
  <si>
    <t>9697T2</t>
  </si>
  <si>
    <t>Easy-ID Low-Voltage Cable</t>
  </si>
  <si>
    <t>18 Gauge 2 wire black/red</t>
  </si>
  <si>
    <t>50ft, 18 ga</t>
  </si>
  <si>
    <t>18 gauge wire</t>
  </si>
  <si>
    <t>Polycarbonate Sheet</t>
  </si>
  <si>
    <t>Polycarbonate sheet</t>
  </si>
  <si>
    <t>Andy Mark</t>
  </si>
  <si>
    <t>AM-0980</t>
  </si>
  <si>
    <t>24"x24", 0.118"</t>
  </si>
  <si>
    <t>0.118"</t>
  </si>
  <si>
    <t>Core Device Interface Module</t>
  </si>
  <si>
    <t>AUA3030</t>
  </si>
  <si>
    <t>Modern Robotics, Inc.</t>
  </si>
  <si>
    <t>W39069/AZ39069</t>
  </si>
  <si>
    <t>W39068/AZ39068</t>
  </si>
  <si>
    <t>W39067/AZ39067</t>
  </si>
  <si>
    <t>W39066/AZ39066</t>
  </si>
  <si>
    <t>W39065/AZ39065</t>
  </si>
  <si>
    <t>W39085/AZ39085</t>
  </si>
  <si>
    <t>W39090/AZ39090</t>
  </si>
  <si>
    <t>W39055/AZ39055</t>
  </si>
  <si>
    <t>Velcro</t>
  </si>
  <si>
    <t>94985K911</t>
  </si>
  <si>
    <t>Super Adhesive-back General Purpose Hook and Loop</t>
  </si>
  <si>
    <t>2" x 5 ft</t>
  </si>
  <si>
    <t>McMaster-Carr</t>
  </si>
  <si>
    <t>W39061/AZ39061</t>
  </si>
  <si>
    <t>W39281/AZ39281</t>
  </si>
  <si>
    <t>W39270/AZ39270</t>
  </si>
  <si>
    <t>W39071/AZ39071</t>
  </si>
  <si>
    <t>W39072/AZ39072</t>
  </si>
  <si>
    <t>W39073/AZ39073</t>
  </si>
  <si>
    <t>W39088/AZ39088</t>
  </si>
  <si>
    <t>W35871/AZ35871</t>
  </si>
  <si>
    <t>W39092/AZ39092</t>
  </si>
  <si>
    <t>W39165/Az39165</t>
  </si>
  <si>
    <t>W39173/AZ39173</t>
  </si>
  <si>
    <t>W39171/AZ39171</t>
  </si>
  <si>
    <t>W39169/Az39169</t>
  </si>
  <si>
    <t>W31903/AZ31903</t>
  </si>
  <si>
    <t>GPF0310</t>
  </si>
  <si>
    <t>Logitec F310 Gamepad</t>
  </si>
  <si>
    <t>Sensors</t>
  </si>
  <si>
    <t>45-2018</t>
  </si>
  <si>
    <t>Modern Robotics, Inc</t>
  </si>
  <si>
    <t>Order if we can program the Hi technic sensor.</t>
  </si>
  <si>
    <t>Order if we go with the color sensor.</t>
  </si>
  <si>
    <t>McCloud may be getting wire</t>
  </si>
  <si>
    <t>73095K48</t>
  </si>
  <si>
    <t>Heat-Shrink Tubing Assortments</t>
  </si>
</sst>
</file>

<file path=xl/styles.xml><?xml version="1.0" encoding="utf-8"?>
<styleSheet xmlns="http://schemas.openxmlformats.org/spreadsheetml/2006/main">
  <numFmts count="1">
    <numFmt numFmtId="164" formatCode="[$$-409]#,##0.00;[Red]\-[$$-409]#,##0.0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  <xf numFmtId="0" fontId="0" fillId="0" borderId="0" xfId="0" applyFont="1"/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  <xf numFmtId="0" fontId="0" fillId="5" borderId="0" xfId="0" applyFill="1"/>
    <xf numFmtId="0" fontId="0" fillId="5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34"/>
  <sheetViews>
    <sheetView tabSelected="1" zoomScale="115" zoomScaleNormal="115" workbookViewId="0">
      <pane ySplit="885" topLeftCell="A37" activePane="bottomLeft"/>
      <selection activeCell="B2" sqref="B2"/>
      <selection pane="bottomLeft" activeCell="J78" sqref="J78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3.5703125" style="6" customWidth="1"/>
    <col min="5" max="5" width="7.42578125" style="5" customWidth="1"/>
    <col min="6" max="6" width="6" style="5" customWidth="1"/>
    <col min="7" max="7" width="16.140625" style="5" customWidth="1"/>
    <col min="8" max="8" width="8.85546875" style="4" customWidth="1"/>
    <col min="9" max="9" width="10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t="s">
        <v>283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2</v>
      </c>
      <c r="K3" s="4">
        <f>H3*J3</f>
        <v>35.9</v>
      </c>
    </row>
    <row r="4" spans="1:11">
      <c r="B4" t="s">
        <v>284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1</v>
      </c>
      <c r="K4" s="4">
        <f>H4*J4</f>
        <v>27.95</v>
      </c>
    </row>
    <row r="5" spans="1:11">
      <c r="B5" t="s">
        <v>285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1</v>
      </c>
      <c r="K5" s="4">
        <f>H5*J5</f>
        <v>16.95</v>
      </c>
    </row>
    <row r="6" spans="1:11">
      <c r="B6" t="s">
        <v>286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3</v>
      </c>
      <c r="K6" s="4">
        <f>H6*J6</f>
        <v>35.849999999999994</v>
      </c>
    </row>
    <row r="7" spans="1:11">
      <c r="B7" t="s">
        <v>287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t="s">
        <v>296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t="s">
        <v>297</v>
      </c>
      <c r="D12" s="6" t="s">
        <v>14</v>
      </c>
      <c r="G12" s="5" t="s">
        <v>12</v>
      </c>
      <c r="H12" s="4">
        <v>4.95</v>
      </c>
      <c r="I12" s="5">
        <v>2</v>
      </c>
      <c r="J12" s="5">
        <v>3</v>
      </c>
      <c r="K12" s="4">
        <f>H12*J12</f>
        <v>14.850000000000001</v>
      </c>
    </row>
    <row r="13" spans="1:11">
      <c r="B13" t="s">
        <v>298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4</v>
      </c>
      <c r="K13" s="4">
        <f t="shared" ref="K13" si="0">H13*J13</f>
        <v>19.8</v>
      </c>
    </row>
    <row r="15" spans="1:11">
      <c r="A15" s="5" t="s">
        <v>229</v>
      </c>
    </row>
    <row r="16" spans="1:11">
      <c r="B16" t="s">
        <v>299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2</v>
      </c>
      <c r="K16" s="4">
        <f>H16*J16</f>
        <v>27.9</v>
      </c>
    </row>
    <row r="17" spans="1:12">
      <c r="B17" t="s">
        <v>300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2</v>
      </c>
      <c r="K17" s="4">
        <f>H17*J17</f>
        <v>21.9</v>
      </c>
    </row>
    <row r="19" spans="1:12">
      <c r="A19" s="5" t="s">
        <v>231</v>
      </c>
    </row>
    <row r="20" spans="1:12">
      <c r="B20" t="s">
        <v>301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1</v>
      </c>
      <c r="K20" s="4">
        <f>H20*J20</f>
        <v>12.95</v>
      </c>
    </row>
    <row r="22" spans="1:12">
      <c r="A22" s="5" t="s">
        <v>233</v>
      </c>
    </row>
    <row r="23" spans="1:12">
      <c r="B23" t="s">
        <v>302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t="s">
        <v>303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 hidden="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4</v>
      </c>
      <c r="K26" s="1">
        <f t="shared" ref="K26" si="1">H26*J26</f>
        <v>27.8</v>
      </c>
      <c r="L26" s="9"/>
    </row>
    <row r="27" spans="1:12">
      <c r="B27" t="s">
        <v>304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t="s">
        <v>306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t="s">
        <v>307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1</v>
      </c>
      <c r="K33" s="4">
        <f t="shared" ref="K33:K35" si="2">H33*J33</f>
        <v>29.95</v>
      </c>
    </row>
    <row r="34" spans="1:13">
      <c r="B34" t="s">
        <v>308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13">
        <v>2</v>
      </c>
      <c r="K34" s="4">
        <f t="shared" si="2"/>
        <v>45.9</v>
      </c>
    </row>
    <row r="35" spans="1:13">
      <c r="B35" t="s">
        <v>305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13">
        <v>2</v>
      </c>
      <c r="K35" s="4">
        <f t="shared" si="2"/>
        <v>33.9</v>
      </c>
    </row>
    <row r="37" spans="1:13">
      <c r="A37" t="s">
        <v>243</v>
      </c>
    </row>
    <row r="38" spans="1:13">
      <c r="B38" t="s">
        <v>288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t="s">
        <v>289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3"/>
        <v>0</v>
      </c>
    </row>
    <row r="43" spans="1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3"/>
        <v>0</v>
      </c>
    </row>
    <row r="45" spans="1:13">
      <c r="A45" s="5" t="s">
        <v>240</v>
      </c>
    </row>
    <row r="46" spans="1:13" hidden="1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4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t="s">
        <v>309</v>
      </c>
      <c r="D53" s="6" t="s">
        <v>61</v>
      </c>
      <c r="G53" s="5" t="s">
        <v>22</v>
      </c>
      <c r="H53" s="4">
        <v>1.95</v>
      </c>
      <c r="I53" s="5">
        <v>1</v>
      </c>
      <c r="J53" s="5">
        <v>2</v>
      </c>
      <c r="K53" s="4">
        <f t="shared" si="4"/>
        <v>3.9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4</v>
      </c>
      <c r="K55" s="4">
        <f t="shared" si="4"/>
        <v>20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B65" s="5" t="s">
        <v>155</v>
      </c>
      <c r="C65" s="5" t="s">
        <v>75</v>
      </c>
      <c r="G65" s="5" t="s">
        <v>22</v>
      </c>
      <c r="H65" s="4">
        <v>79.95</v>
      </c>
      <c r="I65" s="5">
        <v>1</v>
      </c>
      <c r="J65" s="5">
        <v>0</v>
      </c>
      <c r="K65" s="4">
        <f>H65*J65</f>
        <v>0</v>
      </c>
    </row>
    <row r="66" spans="1:13">
      <c r="C66" s="5" t="s">
        <v>74</v>
      </c>
      <c r="J66" s="5">
        <v>0</v>
      </c>
      <c r="K66" s="4">
        <f>H66*J66</f>
        <v>0</v>
      </c>
      <c r="M66" s="5" t="s">
        <v>208</v>
      </c>
    </row>
    <row r="67" spans="1:13">
      <c r="B67" t="s">
        <v>281</v>
      </c>
      <c r="C67" s="5" t="s">
        <v>280</v>
      </c>
      <c r="G67" t="s">
        <v>282</v>
      </c>
      <c r="H67" s="4">
        <v>67.95</v>
      </c>
      <c r="I67" s="5">
        <v>1</v>
      </c>
      <c r="J67" s="13">
        <v>0</v>
      </c>
      <c r="K67" s="4">
        <f>H67*J67</f>
        <v>0</v>
      </c>
      <c r="M67" t="s">
        <v>316</v>
      </c>
    </row>
    <row r="68" spans="1:13">
      <c r="B68" t="s">
        <v>310</v>
      </c>
      <c r="C68" s="5" t="s">
        <v>311</v>
      </c>
      <c r="G68" t="s">
        <v>282</v>
      </c>
      <c r="H68" s="4">
        <v>24.95</v>
      </c>
      <c r="I68" s="5">
        <v>1</v>
      </c>
      <c r="J68" s="11">
        <v>1</v>
      </c>
      <c r="K68" s="4">
        <f>H68*J68</f>
        <v>24.95</v>
      </c>
    </row>
    <row r="69" spans="1:13">
      <c r="B69"/>
      <c r="G69"/>
      <c r="J69" s="11"/>
    </row>
    <row r="70" spans="1:13">
      <c r="A70" t="s">
        <v>312</v>
      </c>
      <c r="B70"/>
      <c r="G70"/>
      <c r="J70" s="11"/>
    </row>
    <row r="71" spans="1:13">
      <c r="B71" t="s">
        <v>313</v>
      </c>
      <c r="C71" s="5" t="s">
        <v>259</v>
      </c>
      <c r="G71" t="s">
        <v>314</v>
      </c>
      <c r="H71" s="4">
        <v>36.950000000000003</v>
      </c>
      <c r="I71" s="5">
        <v>1</v>
      </c>
      <c r="J71" s="13">
        <v>0</v>
      </c>
      <c r="K71" s="4">
        <f>H71*J71</f>
        <v>0</v>
      </c>
      <c r="M71" t="s">
        <v>315</v>
      </c>
    </row>
    <row r="72" spans="1:13">
      <c r="B72"/>
      <c r="G72"/>
      <c r="J72" s="11"/>
    </row>
    <row r="73" spans="1:13" ht="14.25" customHeight="1"/>
    <row r="74" spans="1:13" ht="17.25" customHeight="1">
      <c r="A74" t="s">
        <v>244</v>
      </c>
    </row>
    <row r="75" spans="1:13" ht="14.25" hidden="1" customHeight="1">
      <c r="C75" t="s">
        <v>246</v>
      </c>
    </row>
    <row r="76" spans="1:13" ht="16.5" customHeight="1">
      <c r="B76" t="s">
        <v>256</v>
      </c>
      <c r="C76" t="s">
        <v>249</v>
      </c>
      <c r="D76" s="3" t="s">
        <v>250</v>
      </c>
      <c r="E76" t="s">
        <v>257</v>
      </c>
      <c r="G76" s="5" t="s">
        <v>248</v>
      </c>
      <c r="H76" s="4">
        <v>25.52</v>
      </c>
      <c r="I76" s="5">
        <v>1</v>
      </c>
      <c r="J76" s="5">
        <v>1</v>
      </c>
      <c r="K76" s="4">
        <f>H76*J76</f>
        <v>25.52</v>
      </c>
    </row>
    <row r="77" spans="1:13" ht="16.5" customHeight="1">
      <c r="B77" t="s">
        <v>269</v>
      </c>
      <c r="C77" t="s">
        <v>270</v>
      </c>
      <c r="D77" s="3" t="s">
        <v>271</v>
      </c>
      <c r="E77" t="s">
        <v>272</v>
      </c>
      <c r="G77" s="5" t="s">
        <v>64</v>
      </c>
      <c r="H77" s="4">
        <v>15.5</v>
      </c>
      <c r="I77" s="5">
        <v>1</v>
      </c>
      <c r="J77" s="13">
        <v>1</v>
      </c>
      <c r="K77" s="4">
        <f>H77*J77</f>
        <v>15.5</v>
      </c>
      <c r="M77" t="s">
        <v>317</v>
      </c>
    </row>
    <row r="78" spans="1:13" ht="16.5" customHeight="1">
      <c r="B78" t="s">
        <v>318</v>
      </c>
      <c r="C78" t="s">
        <v>319</v>
      </c>
      <c r="D78" s="3"/>
      <c r="E78"/>
      <c r="G78" t="s">
        <v>64</v>
      </c>
      <c r="H78" s="4">
        <v>27.12</v>
      </c>
      <c r="I78" s="5">
        <v>1</v>
      </c>
      <c r="J78" s="13">
        <v>0</v>
      </c>
      <c r="K78" s="4">
        <f>H78*J78</f>
        <v>0</v>
      </c>
      <c r="M78"/>
    </row>
    <row r="79" spans="1:13" ht="16.5" customHeight="1">
      <c r="C79"/>
      <c r="D79" s="3"/>
      <c r="E79"/>
    </row>
    <row r="80" spans="1:13" ht="14.25" customHeight="1">
      <c r="A80" s="5" t="s">
        <v>232</v>
      </c>
      <c r="C80"/>
      <c r="D80" s="3"/>
    </row>
    <row r="81" spans="1:13" ht="12.75" customHeight="1">
      <c r="B81" t="s">
        <v>290</v>
      </c>
      <c r="C81" s="5" t="s">
        <v>89</v>
      </c>
      <c r="D81" s="6" t="s">
        <v>90</v>
      </c>
      <c r="E81" s="5" t="s">
        <v>258</v>
      </c>
      <c r="G81" s="5" t="s">
        <v>22</v>
      </c>
      <c r="H81" s="4">
        <v>19.95</v>
      </c>
      <c r="I81" s="5">
        <v>1</v>
      </c>
      <c r="J81" s="13">
        <v>0</v>
      </c>
      <c r="K81" s="4">
        <f>H81*J81</f>
        <v>0</v>
      </c>
      <c r="M81" s="5" t="s">
        <v>209</v>
      </c>
    </row>
    <row r="82" spans="1:13" ht="16.5" hidden="1" customHeight="1">
      <c r="B82" s="5" t="s">
        <v>158</v>
      </c>
      <c r="C82" s="5" t="s">
        <v>81</v>
      </c>
      <c r="D82" s="3" t="s">
        <v>251</v>
      </c>
      <c r="E82" s="5" t="s">
        <v>252</v>
      </c>
      <c r="G82" s="5" t="s">
        <v>22</v>
      </c>
      <c r="H82" s="4">
        <v>29.95</v>
      </c>
      <c r="I82" s="5">
        <v>2</v>
      </c>
      <c r="J82" s="5">
        <v>0</v>
      </c>
      <c r="K82" s="4">
        <f t="shared" ref="K82:K83" si="6">H82*J82</f>
        <v>0</v>
      </c>
    </row>
    <row r="83" spans="1:13" ht="27.75" customHeight="1">
      <c r="B83" t="s">
        <v>253</v>
      </c>
      <c r="D83" s="3" t="s">
        <v>251</v>
      </c>
      <c r="E83" t="s">
        <v>258</v>
      </c>
      <c r="G83" s="5" t="s">
        <v>22</v>
      </c>
      <c r="H83" s="4">
        <v>29.95</v>
      </c>
      <c r="I83" s="5">
        <v>2</v>
      </c>
      <c r="J83" s="13">
        <v>0</v>
      </c>
      <c r="K83" s="4">
        <f t="shared" si="6"/>
        <v>0</v>
      </c>
    </row>
    <row r="84" spans="1:13" ht="16.5" customHeight="1">
      <c r="B84"/>
      <c r="D84" s="3"/>
      <c r="E84"/>
    </row>
    <row r="85" spans="1:13" ht="16.5" customHeight="1">
      <c r="A85" t="s">
        <v>263</v>
      </c>
      <c r="B85"/>
      <c r="D85" s="3"/>
      <c r="E85"/>
    </row>
    <row r="86" spans="1:13" ht="16.5" customHeight="1">
      <c r="B86" t="s">
        <v>264</v>
      </c>
      <c r="C86" t="s">
        <v>265</v>
      </c>
      <c r="D86" s="3"/>
      <c r="E86"/>
      <c r="G86" s="5" t="s">
        <v>266</v>
      </c>
      <c r="H86" s="4">
        <v>99.95</v>
      </c>
      <c r="I86" s="5">
        <v>1</v>
      </c>
      <c r="J86" s="5">
        <v>1</v>
      </c>
      <c r="K86" s="4">
        <f t="shared" ref="K86" si="7">H86*J86</f>
        <v>99.95</v>
      </c>
    </row>
    <row r="87" spans="1:13" ht="16.5" customHeight="1">
      <c r="B87" t="s">
        <v>267</v>
      </c>
      <c r="C87" t="s">
        <v>268</v>
      </c>
      <c r="D87" s="3"/>
      <c r="E87"/>
      <c r="G87" s="5" t="s">
        <v>266</v>
      </c>
      <c r="H87" s="4">
        <v>17.95</v>
      </c>
      <c r="I87" s="5">
        <v>1</v>
      </c>
      <c r="J87" s="5">
        <v>1</v>
      </c>
      <c r="K87" s="4">
        <f t="shared" ref="K87" si="8">H87*J87</f>
        <v>17.95</v>
      </c>
    </row>
    <row r="89" spans="1:13">
      <c r="A89" t="s">
        <v>274</v>
      </c>
    </row>
    <row r="90" spans="1:13">
      <c r="B90" t="s">
        <v>277</v>
      </c>
      <c r="C90" t="s">
        <v>275</v>
      </c>
      <c r="D90" s="3" t="s">
        <v>278</v>
      </c>
      <c r="E90" t="s">
        <v>279</v>
      </c>
      <c r="G90" s="5" t="s">
        <v>276</v>
      </c>
      <c r="H90" s="4">
        <v>20</v>
      </c>
      <c r="I90" s="5">
        <v>1</v>
      </c>
      <c r="J90" s="5">
        <v>2</v>
      </c>
      <c r="K90" s="4">
        <f t="shared" ref="K90" si="9">H90*J90</f>
        <v>40</v>
      </c>
    </row>
    <row r="91" spans="1:13">
      <c r="B91"/>
      <c r="C91"/>
      <c r="D91" s="3"/>
      <c r="E91"/>
    </row>
    <row r="92" spans="1:13">
      <c r="A92" t="s">
        <v>291</v>
      </c>
      <c r="B92"/>
      <c r="C92"/>
      <c r="D92" s="3"/>
      <c r="E92"/>
    </row>
    <row r="93" spans="1:13">
      <c r="B93" t="s">
        <v>292</v>
      </c>
      <c r="C93" t="s">
        <v>293</v>
      </c>
      <c r="D93" s="3" t="s">
        <v>294</v>
      </c>
      <c r="G93" s="5" t="s">
        <v>295</v>
      </c>
      <c r="H93" s="4">
        <v>17.91</v>
      </c>
      <c r="I93" s="5">
        <v>1</v>
      </c>
      <c r="J93" s="5">
        <v>1</v>
      </c>
      <c r="K93" s="4">
        <f t="shared" ref="K93" si="10">H93*J93</f>
        <v>17.91</v>
      </c>
    </row>
    <row r="95" spans="1:13">
      <c r="A95" s="5" t="s">
        <v>234</v>
      </c>
    </row>
    <row r="96" spans="1:13" hidden="1">
      <c r="B96" s="5" t="s">
        <v>15</v>
      </c>
      <c r="D96" s="6" t="s">
        <v>16</v>
      </c>
      <c r="E96" s="5" t="s">
        <v>17</v>
      </c>
      <c r="G96" s="5" t="s">
        <v>18</v>
      </c>
      <c r="H96" s="4">
        <v>9.9499999999999993</v>
      </c>
      <c r="I96" s="5">
        <v>100</v>
      </c>
      <c r="J96" s="5">
        <v>0</v>
      </c>
      <c r="K96" s="4">
        <f t="shared" ref="K96:K112" si="11">H96*J96</f>
        <v>0</v>
      </c>
    </row>
    <row r="97" spans="1:12" hidden="1">
      <c r="B97" s="5" t="s">
        <v>19</v>
      </c>
      <c r="D97" s="6" t="s">
        <v>20</v>
      </c>
      <c r="E97" s="5" t="s">
        <v>21</v>
      </c>
      <c r="G97" s="5" t="s">
        <v>22</v>
      </c>
      <c r="H97" s="4">
        <v>9.9499999999999993</v>
      </c>
      <c r="I97" s="5">
        <v>100</v>
      </c>
      <c r="J97" s="5">
        <v>0</v>
      </c>
      <c r="K97" s="4">
        <f t="shared" si="11"/>
        <v>0</v>
      </c>
    </row>
    <row r="98" spans="1:12" hidden="1">
      <c r="B98" s="5" t="s">
        <v>25</v>
      </c>
      <c r="D98" s="6" t="s">
        <v>26</v>
      </c>
      <c r="E98" s="5" t="s">
        <v>27</v>
      </c>
      <c r="G98" s="5" t="s">
        <v>22</v>
      </c>
      <c r="H98" s="4">
        <v>8.9499999999999993</v>
      </c>
      <c r="I98" s="5">
        <v>50</v>
      </c>
      <c r="J98" s="5">
        <v>0</v>
      </c>
      <c r="K98" s="4">
        <f t="shared" si="11"/>
        <v>0</v>
      </c>
    </row>
    <row r="99" spans="1:12" hidden="1">
      <c r="B99" s="5" t="s">
        <v>23</v>
      </c>
      <c r="C99" s="5" t="s">
        <v>130</v>
      </c>
      <c r="D99" s="6" t="s">
        <v>131</v>
      </c>
      <c r="G99" s="5" t="s">
        <v>22</v>
      </c>
      <c r="H99" s="4">
        <v>2.95</v>
      </c>
      <c r="I99" s="5">
        <v>100</v>
      </c>
      <c r="J99" s="5">
        <v>0</v>
      </c>
      <c r="K99" s="4">
        <f>H99*J99</f>
        <v>0</v>
      </c>
    </row>
    <row r="100" spans="1:12" hidden="1">
      <c r="B100" s="5" t="s">
        <v>185</v>
      </c>
      <c r="C100" s="5" t="s">
        <v>132</v>
      </c>
      <c r="D100" s="6" t="s">
        <v>133</v>
      </c>
      <c r="G100" s="5" t="s">
        <v>22</v>
      </c>
      <c r="H100" s="4">
        <v>9.9499999999999993</v>
      </c>
      <c r="I100" s="5">
        <v>100</v>
      </c>
      <c r="J100" s="5">
        <v>0</v>
      </c>
      <c r="K100" s="4">
        <f>H100*J100</f>
        <v>0</v>
      </c>
    </row>
    <row r="101" spans="1:12" ht="17.25" hidden="1" customHeight="1">
      <c r="B101" s="5" t="s">
        <v>184</v>
      </c>
      <c r="C101" s="5" t="s">
        <v>134</v>
      </c>
      <c r="D101" s="6" t="s">
        <v>135</v>
      </c>
      <c r="G101" s="5" t="s">
        <v>22</v>
      </c>
      <c r="H101" s="4">
        <v>9.9499999999999993</v>
      </c>
      <c r="I101" s="5">
        <v>100</v>
      </c>
      <c r="J101" s="5">
        <v>0</v>
      </c>
      <c r="K101" s="4">
        <f>H101*J101</f>
        <v>0</v>
      </c>
    </row>
    <row r="102" spans="1:12" hidden="1">
      <c r="B102" s="5" t="s">
        <v>190</v>
      </c>
      <c r="C102" s="5" t="s">
        <v>144</v>
      </c>
      <c r="D102" s="6" t="s">
        <v>148</v>
      </c>
      <c r="G102" s="5" t="s">
        <v>22</v>
      </c>
      <c r="H102" s="4">
        <v>8.9499999999999993</v>
      </c>
      <c r="I102" s="5">
        <v>50</v>
      </c>
      <c r="J102" s="5">
        <v>0</v>
      </c>
      <c r="K102" s="4">
        <f>H102*J102</f>
        <v>0</v>
      </c>
    </row>
    <row r="105" spans="1:12">
      <c r="A105" s="5" t="s">
        <v>237</v>
      </c>
    </row>
    <row r="106" spans="1:12" hidden="1">
      <c r="B106" s="5" t="s">
        <v>44</v>
      </c>
      <c r="C106" s="5" t="s">
        <v>91</v>
      </c>
      <c r="D106" s="6" t="s">
        <v>92</v>
      </c>
      <c r="E106" s="5" t="s">
        <v>242</v>
      </c>
      <c r="G106" s="5" t="s">
        <v>22</v>
      </c>
      <c r="H106" s="4">
        <v>49.95</v>
      </c>
      <c r="I106" s="5">
        <v>1</v>
      </c>
      <c r="J106" s="5">
        <v>0</v>
      </c>
      <c r="K106" s="4">
        <f>H106*J106</f>
        <v>0</v>
      </c>
    </row>
    <row r="107" spans="1:12" hidden="1">
      <c r="B107" s="5" t="s">
        <v>159</v>
      </c>
      <c r="C107" s="5" t="s">
        <v>85</v>
      </c>
      <c r="D107" s="6" t="s">
        <v>86</v>
      </c>
      <c r="G107" s="5" t="s">
        <v>22</v>
      </c>
      <c r="H107" s="4">
        <v>5.95</v>
      </c>
      <c r="I107" s="5">
        <v>1</v>
      </c>
      <c r="J107" s="5">
        <v>0</v>
      </c>
      <c r="K107" s="4">
        <f>H107*J107</f>
        <v>0</v>
      </c>
      <c r="L107" s="11"/>
    </row>
    <row r="108" spans="1:12" hidden="1">
      <c r="B108" s="5" t="s">
        <v>163</v>
      </c>
      <c r="C108" s="5" t="s">
        <v>161</v>
      </c>
      <c r="D108" s="6" t="s">
        <v>162</v>
      </c>
      <c r="G108" s="5" t="s">
        <v>22</v>
      </c>
      <c r="H108" s="4">
        <v>24.95</v>
      </c>
      <c r="I108" s="5">
        <v>1</v>
      </c>
      <c r="J108" s="5">
        <v>0</v>
      </c>
      <c r="K108" s="4">
        <f>H108*J108</f>
        <v>0</v>
      </c>
    </row>
    <row r="110" spans="1:12">
      <c r="A110" s="5" t="s">
        <v>238</v>
      </c>
    </row>
    <row r="111" spans="1:12">
      <c r="B111" s="5" t="s">
        <v>51</v>
      </c>
      <c r="D111" s="6" t="s">
        <v>52</v>
      </c>
      <c r="G111" s="5" t="s">
        <v>22</v>
      </c>
      <c r="H111" s="4">
        <v>16.95</v>
      </c>
      <c r="J111" s="13">
        <v>1</v>
      </c>
      <c r="K111" s="4">
        <f t="shared" si="11"/>
        <v>16.95</v>
      </c>
    </row>
    <row r="112" spans="1:12">
      <c r="B112" s="5" t="s">
        <v>254</v>
      </c>
      <c r="D112" s="3" t="s">
        <v>48</v>
      </c>
      <c r="E112" t="s">
        <v>255</v>
      </c>
      <c r="G112" s="5" t="s">
        <v>22</v>
      </c>
      <c r="H112" s="4">
        <v>0.95</v>
      </c>
      <c r="I112" t="s">
        <v>50</v>
      </c>
      <c r="J112" s="5">
        <v>2</v>
      </c>
      <c r="K112" s="4">
        <f t="shared" si="11"/>
        <v>1.9</v>
      </c>
    </row>
    <row r="114" spans="1:11">
      <c r="A114" s="5" t="s">
        <v>239</v>
      </c>
    </row>
    <row r="115" spans="1:11" hidden="1">
      <c r="B115" s="5" t="s">
        <v>62</v>
      </c>
      <c r="D115" s="6" t="s">
        <v>63</v>
      </c>
      <c r="E115" s="5">
        <v>346</v>
      </c>
      <c r="G115" s="5" t="s">
        <v>64</v>
      </c>
      <c r="H115" s="4">
        <v>27.17</v>
      </c>
      <c r="I115" s="5" t="s">
        <v>65</v>
      </c>
      <c r="J115" s="5">
        <v>0</v>
      </c>
      <c r="K115" s="4">
        <f>H115*J115</f>
        <v>0</v>
      </c>
    </row>
    <row r="116" spans="1:11" hidden="1">
      <c r="B116" s="5" t="s">
        <v>66</v>
      </c>
      <c r="D116" s="6" t="s">
        <v>67</v>
      </c>
      <c r="E116" s="5">
        <v>693</v>
      </c>
      <c r="G116" s="5" t="s">
        <v>64</v>
      </c>
      <c r="H116" s="4">
        <v>12.77</v>
      </c>
      <c r="I116" s="5" t="s">
        <v>68</v>
      </c>
      <c r="J116" s="5">
        <v>0</v>
      </c>
      <c r="K116" s="4">
        <f>H116*J116</f>
        <v>0</v>
      </c>
    </row>
    <row r="117" spans="1:11" hidden="1">
      <c r="B117" s="5" t="s">
        <v>69</v>
      </c>
      <c r="D117" s="3" t="s">
        <v>247</v>
      </c>
      <c r="E117" s="5" t="s">
        <v>71</v>
      </c>
      <c r="G117" s="5" t="s">
        <v>72</v>
      </c>
      <c r="H117" s="4">
        <v>1.52</v>
      </c>
      <c r="I117" s="5">
        <v>1</v>
      </c>
      <c r="J117" s="5">
        <v>0</v>
      </c>
      <c r="K117" s="4">
        <f>H117*J117</f>
        <v>0</v>
      </c>
    </row>
    <row r="120" spans="1:11">
      <c r="B120" s="5" t="s">
        <v>188</v>
      </c>
      <c r="C120" s="7" t="s">
        <v>140</v>
      </c>
      <c r="D120" s="6" t="s">
        <v>141</v>
      </c>
      <c r="G120" s="5" t="s">
        <v>22</v>
      </c>
      <c r="H120" s="4">
        <v>3.95</v>
      </c>
      <c r="I120" s="5">
        <v>12</v>
      </c>
      <c r="J120" s="5">
        <v>1</v>
      </c>
      <c r="K120" s="4">
        <f>H120*J120</f>
        <v>3.95</v>
      </c>
    </row>
    <row r="121" spans="1:11">
      <c r="B121" s="5" t="s">
        <v>189</v>
      </c>
      <c r="C121" s="5" t="s">
        <v>142</v>
      </c>
      <c r="D121" s="6" t="s">
        <v>143</v>
      </c>
      <c r="G121" s="5" t="s">
        <v>22</v>
      </c>
      <c r="H121" s="4">
        <v>4.95</v>
      </c>
      <c r="I121" s="5">
        <v>12</v>
      </c>
      <c r="J121" s="5">
        <v>1</v>
      </c>
      <c r="K121" s="4">
        <f>H121*J121</f>
        <v>4.95</v>
      </c>
    </row>
    <row r="122" spans="1:11" hidden="1">
      <c r="B122" s="5" t="s">
        <v>182</v>
      </c>
      <c r="C122" s="5" t="s">
        <v>126</v>
      </c>
      <c r="D122" s="6" t="s">
        <v>127</v>
      </c>
      <c r="G122" s="5" t="s">
        <v>22</v>
      </c>
      <c r="H122" s="4">
        <v>13.95</v>
      </c>
      <c r="I122" s="5">
        <v>12</v>
      </c>
      <c r="J122" s="5">
        <v>0</v>
      </c>
      <c r="K122" s="4">
        <f>H122*J122</f>
        <v>0</v>
      </c>
    </row>
    <row r="123" spans="1:11" hidden="1">
      <c r="B123" s="5" t="s">
        <v>191</v>
      </c>
      <c r="C123" s="5" t="s">
        <v>145</v>
      </c>
      <c r="D123" s="6" t="s">
        <v>149</v>
      </c>
      <c r="G123" s="5" t="s">
        <v>22</v>
      </c>
      <c r="H123" s="4">
        <v>12</v>
      </c>
      <c r="I123" s="5">
        <v>12</v>
      </c>
      <c r="J123" s="5">
        <v>0</v>
      </c>
      <c r="K123" s="4">
        <f>H123*J123</f>
        <v>0</v>
      </c>
    </row>
    <row r="126" spans="1:11">
      <c r="K126" s="4">
        <f>SUM(K2:K125)</f>
        <v>808.18000000000006</v>
      </c>
    </row>
    <row r="129" spans="3:4">
      <c r="C129" s="14" t="s">
        <v>261</v>
      </c>
    </row>
    <row r="130" spans="3:4">
      <c r="C130" t="s">
        <v>259</v>
      </c>
    </row>
    <row r="131" spans="3:4">
      <c r="C131" s="14" t="s">
        <v>273</v>
      </c>
    </row>
    <row r="132" spans="3:4">
      <c r="C132" s="14" t="s">
        <v>260</v>
      </c>
    </row>
    <row r="133" spans="3:4">
      <c r="C133" t="s">
        <v>259</v>
      </c>
      <c r="D133" s="3" t="s">
        <v>262</v>
      </c>
    </row>
    <row r="134" spans="3:4">
      <c r="C134" s="12" t="s">
        <v>291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8"/>
  <sheetViews>
    <sheetView topLeftCell="C1" zoomScale="115" zoomScaleNormal="115" workbookViewId="0">
      <pane ySplit="795" topLeftCell="A62" activePane="bottomLeft"/>
      <selection activeCell="D13" sqref="D1:D1048576"/>
      <selection pane="bottomLeft" activeCell="E76" sqref="E76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7.28515625" style="6" customWidth="1"/>
    <col min="5" max="5" width="14.5703125" style="5" customWidth="1"/>
    <col min="6" max="6" width="6" style="5" customWidth="1"/>
    <col min="7" max="7" width="16.140625" style="5" customWidth="1"/>
    <col min="8" max="8" width="11" style="4" customWidth="1"/>
    <col min="9" max="9" width="14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2</v>
      </c>
      <c r="K3" s="4">
        <f>H3*J3</f>
        <v>35.9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1</v>
      </c>
      <c r="K4" s="4">
        <f>H4*J4</f>
        <v>27.95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1</v>
      </c>
      <c r="K5" s="4">
        <f>H5*J5</f>
        <v>16.95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3</v>
      </c>
      <c r="K6" s="4">
        <f>H6*J6</f>
        <v>35.849999999999994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3</v>
      </c>
      <c r="K12" s="4">
        <f>H12*J12</f>
        <v>14.850000000000001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4</v>
      </c>
      <c r="K13" s="4">
        <f t="shared" ref="K13" si="0">H13*J13</f>
        <v>19.8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2</v>
      </c>
      <c r="K16" s="4">
        <f>H16*J16</f>
        <v>27.9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2</v>
      </c>
      <c r="K17" s="4">
        <f>H17*J17</f>
        <v>21.9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1</v>
      </c>
      <c r="K20" s="4">
        <f>H20*J20</f>
        <v>12.95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 hidden="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4</v>
      </c>
      <c r="K26" s="1">
        <f t="shared" ref="K26" si="1">H26*J26</f>
        <v>27.8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1</v>
      </c>
      <c r="K33" s="4">
        <f t="shared" ref="K33:K35" si="2">H33*J33</f>
        <v>29.95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3"/>
        <v>0</v>
      </c>
    </row>
    <row r="43" spans="1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3"/>
        <v>0</v>
      </c>
    </row>
    <row r="45" spans="1:13">
      <c r="A45" s="5" t="s">
        <v>240</v>
      </c>
    </row>
    <row r="46" spans="1:13" hidden="1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4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2</v>
      </c>
      <c r="K53" s="4">
        <f t="shared" si="4"/>
        <v>3.9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4</v>
      </c>
      <c r="K55" s="4">
        <f t="shared" si="4"/>
        <v>20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 hidden="1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 hidden="1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 hidden="1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7.25" customHeight="1">
      <c r="A68" t="s">
        <v>244</v>
      </c>
    </row>
    <row r="69" spans="1:13" ht="14.25" hidden="1" customHeight="1">
      <c r="C69" t="s">
        <v>246</v>
      </c>
    </row>
    <row r="70" spans="1:13" ht="16.5" customHeight="1">
      <c r="B70" t="s">
        <v>256</v>
      </c>
      <c r="C70" t="s">
        <v>249</v>
      </c>
      <c r="D70" s="3" t="s">
        <v>250</v>
      </c>
      <c r="E70" t="s">
        <v>257</v>
      </c>
      <c r="G70" s="5" t="s">
        <v>248</v>
      </c>
      <c r="H70" s="4">
        <v>25.52</v>
      </c>
      <c r="I70" s="5">
        <v>1</v>
      </c>
      <c r="J70" s="5">
        <v>1</v>
      </c>
      <c r="K70" s="4">
        <f>H70*J70</f>
        <v>25.52</v>
      </c>
    </row>
    <row r="71" spans="1:13" ht="16.5" customHeight="1">
      <c r="C71"/>
      <c r="D71" s="3"/>
    </row>
    <row r="72" spans="1:13" ht="14.25" customHeight="1">
      <c r="A72" s="5" t="s">
        <v>232</v>
      </c>
      <c r="C72"/>
      <c r="D72" s="3"/>
    </row>
    <row r="73" spans="1:13" ht="12.75" customHeight="1">
      <c r="B73" s="5" t="s">
        <v>55</v>
      </c>
      <c r="C73" s="5" t="s">
        <v>89</v>
      </c>
      <c r="D73" s="6" t="s">
        <v>90</v>
      </c>
      <c r="E73" s="5" t="s">
        <v>258</v>
      </c>
      <c r="G73" s="5" t="s">
        <v>22</v>
      </c>
      <c r="H73" s="4">
        <v>19.95</v>
      </c>
      <c r="I73" s="5">
        <v>1</v>
      </c>
      <c r="J73" s="5">
        <v>2</v>
      </c>
      <c r="K73" s="4">
        <f>H73*J73</f>
        <v>39.9</v>
      </c>
      <c r="M73" s="5" t="s">
        <v>209</v>
      </c>
    </row>
    <row r="74" spans="1:13" ht="16.5" hidden="1" customHeight="1">
      <c r="B74" s="5" t="s">
        <v>158</v>
      </c>
      <c r="C74" s="5" t="s">
        <v>81</v>
      </c>
      <c r="D74" s="3" t="s">
        <v>251</v>
      </c>
      <c r="E74" s="5" t="s">
        <v>252</v>
      </c>
      <c r="G74" s="5" t="s">
        <v>22</v>
      </c>
      <c r="H74" s="4">
        <v>29.95</v>
      </c>
      <c r="I74" s="5">
        <v>2</v>
      </c>
      <c r="J74" s="5">
        <v>0</v>
      </c>
      <c r="K74" s="4">
        <f>H74*J74</f>
        <v>0</v>
      </c>
    </row>
    <row r="75" spans="1:13" ht="16.5" customHeight="1">
      <c r="B75" t="s">
        <v>253</v>
      </c>
      <c r="D75" s="3" t="s">
        <v>251</v>
      </c>
      <c r="E75" t="s">
        <v>258</v>
      </c>
      <c r="G75" s="5" t="s">
        <v>22</v>
      </c>
      <c r="H75" s="4">
        <v>29.95</v>
      </c>
      <c r="I75" s="5">
        <v>2</v>
      </c>
      <c r="J75" s="5">
        <v>1</v>
      </c>
      <c r="K75" s="4">
        <v>29.95</v>
      </c>
    </row>
    <row r="77" spans="1:13">
      <c r="A77" s="5" t="s">
        <v>234</v>
      </c>
    </row>
    <row r="78" spans="1:13" hidden="1">
      <c r="B78" s="5" t="s">
        <v>15</v>
      </c>
      <c r="D78" s="6" t="s">
        <v>16</v>
      </c>
      <c r="E78" s="5" t="s">
        <v>17</v>
      </c>
      <c r="G78" s="5" t="s">
        <v>18</v>
      </c>
      <c r="H78" s="4">
        <v>9.9499999999999993</v>
      </c>
      <c r="I78" s="5">
        <v>100</v>
      </c>
      <c r="J78" s="5">
        <v>0</v>
      </c>
      <c r="K78" s="4">
        <f t="shared" ref="K78:K94" si="6">H78*J78</f>
        <v>0</v>
      </c>
    </row>
    <row r="79" spans="1:13" hidden="1">
      <c r="B79" s="5" t="s">
        <v>19</v>
      </c>
      <c r="D79" s="6" t="s">
        <v>20</v>
      </c>
      <c r="E79" s="5" t="s">
        <v>21</v>
      </c>
      <c r="G79" s="5" t="s">
        <v>22</v>
      </c>
      <c r="H79" s="4">
        <v>9.9499999999999993</v>
      </c>
      <c r="I79" s="5">
        <v>100</v>
      </c>
      <c r="J79" s="5">
        <v>0</v>
      </c>
      <c r="K79" s="4">
        <f t="shared" si="6"/>
        <v>0</v>
      </c>
    </row>
    <row r="80" spans="1:13" hidden="1">
      <c r="B80" s="5" t="s">
        <v>25</v>
      </c>
      <c r="D80" s="6" t="s">
        <v>26</v>
      </c>
      <c r="E80" s="5" t="s">
        <v>27</v>
      </c>
      <c r="G80" s="5" t="s">
        <v>22</v>
      </c>
      <c r="H80" s="4">
        <v>8.9499999999999993</v>
      </c>
      <c r="I80" s="5">
        <v>50</v>
      </c>
      <c r="J80" s="5">
        <v>0</v>
      </c>
      <c r="K80" s="4">
        <f t="shared" si="6"/>
        <v>0</v>
      </c>
    </row>
    <row r="81" spans="1:12" hidden="1">
      <c r="B81" s="5" t="s">
        <v>23</v>
      </c>
      <c r="C81" s="5" t="s">
        <v>130</v>
      </c>
      <c r="D81" s="6" t="s">
        <v>131</v>
      </c>
      <c r="G81" s="5" t="s">
        <v>22</v>
      </c>
      <c r="H81" s="4">
        <v>2.95</v>
      </c>
      <c r="I81" s="5">
        <v>100</v>
      </c>
      <c r="J81" s="5">
        <v>0</v>
      </c>
      <c r="K81" s="4">
        <f>H81*J81</f>
        <v>0</v>
      </c>
    </row>
    <row r="82" spans="1:12" hidden="1">
      <c r="B82" s="5" t="s">
        <v>185</v>
      </c>
      <c r="C82" s="5" t="s">
        <v>132</v>
      </c>
      <c r="D82" s="6" t="s">
        <v>133</v>
      </c>
      <c r="G82" s="5" t="s">
        <v>22</v>
      </c>
      <c r="H82" s="4">
        <v>9.9499999999999993</v>
      </c>
      <c r="I82" s="5">
        <v>100</v>
      </c>
      <c r="J82" s="5">
        <v>0</v>
      </c>
      <c r="K82" s="4">
        <f>H82*J82</f>
        <v>0</v>
      </c>
    </row>
    <row r="83" spans="1:12" ht="17.25" hidden="1" customHeight="1">
      <c r="B83" s="5" t="s">
        <v>184</v>
      </c>
      <c r="C83" s="5" t="s">
        <v>134</v>
      </c>
      <c r="D83" s="6" t="s">
        <v>135</v>
      </c>
      <c r="G83" s="5" t="s">
        <v>22</v>
      </c>
      <c r="H83" s="4">
        <v>9.9499999999999993</v>
      </c>
      <c r="I83" s="5">
        <v>100</v>
      </c>
      <c r="J83" s="5">
        <v>0</v>
      </c>
      <c r="K83" s="4">
        <f>H83*J83</f>
        <v>0</v>
      </c>
    </row>
    <row r="84" spans="1:12" hidden="1">
      <c r="B84" s="5" t="s">
        <v>190</v>
      </c>
      <c r="C84" s="5" t="s">
        <v>144</v>
      </c>
      <c r="D84" s="6" t="s">
        <v>148</v>
      </c>
      <c r="G84" s="5" t="s">
        <v>22</v>
      </c>
      <c r="H84" s="4">
        <v>8.9499999999999993</v>
      </c>
      <c r="I84" s="5">
        <v>50</v>
      </c>
      <c r="J84" s="5">
        <v>0</v>
      </c>
      <c r="K84" s="4">
        <f>H84*J84</f>
        <v>0</v>
      </c>
    </row>
    <row r="87" spans="1:12">
      <c r="A87" s="5" t="s">
        <v>237</v>
      </c>
    </row>
    <row r="88" spans="1:12" hidden="1">
      <c r="B88" s="5" t="s">
        <v>44</v>
      </c>
      <c r="C88" s="5" t="s">
        <v>91</v>
      </c>
      <c r="D88" s="6" t="s">
        <v>92</v>
      </c>
      <c r="E88" s="5" t="s">
        <v>242</v>
      </c>
      <c r="G88" s="5" t="s">
        <v>22</v>
      </c>
      <c r="H88" s="4">
        <v>49.95</v>
      </c>
      <c r="I88" s="5">
        <v>1</v>
      </c>
      <c r="J88" s="5">
        <v>0</v>
      </c>
      <c r="K88" s="4">
        <f>H88*J88</f>
        <v>0</v>
      </c>
    </row>
    <row r="89" spans="1:12" hidden="1">
      <c r="B89" s="5" t="s">
        <v>159</v>
      </c>
      <c r="C89" s="5" t="s">
        <v>85</v>
      </c>
      <c r="D89" s="6" t="s">
        <v>86</v>
      </c>
      <c r="G89" s="5" t="s">
        <v>22</v>
      </c>
      <c r="H89" s="4">
        <v>5.95</v>
      </c>
      <c r="I89" s="5">
        <v>1</v>
      </c>
      <c r="J89" s="5">
        <v>0</v>
      </c>
      <c r="K89" s="4">
        <f>H89*J89</f>
        <v>0</v>
      </c>
      <c r="L89" s="11"/>
    </row>
    <row r="90" spans="1:12" hidden="1">
      <c r="B90" s="5" t="s">
        <v>163</v>
      </c>
      <c r="C90" s="5" t="s">
        <v>161</v>
      </c>
      <c r="D90" s="6" t="s">
        <v>162</v>
      </c>
      <c r="G90" s="5" t="s">
        <v>22</v>
      </c>
      <c r="H90" s="4">
        <v>24.95</v>
      </c>
      <c r="I90" s="5">
        <v>1</v>
      </c>
      <c r="J90" s="5">
        <v>0</v>
      </c>
      <c r="K90" s="4">
        <f>H90*J90</f>
        <v>0</v>
      </c>
    </row>
    <row r="92" spans="1:12">
      <c r="A92" s="5" t="s">
        <v>238</v>
      </c>
    </row>
    <row r="93" spans="1:12">
      <c r="B93" s="5" t="s">
        <v>51</v>
      </c>
      <c r="D93" s="6" t="s">
        <v>52</v>
      </c>
      <c r="G93" s="5" t="s">
        <v>22</v>
      </c>
      <c r="H93" s="4">
        <v>16.95</v>
      </c>
      <c r="J93" s="5">
        <v>1</v>
      </c>
      <c r="K93" s="4">
        <f t="shared" si="6"/>
        <v>16.95</v>
      </c>
    </row>
    <row r="94" spans="1:12">
      <c r="B94" s="5" t="s">
        <v>254</v>
      </c>
      <c r="D94" s="3" t="s">
        <v>48</v>
      </c>
      <c r="E94" t="s">
        <v>255</v>
      </c>
      <c r="G94" s="5" t="s">
        <v>22</v>
      </c>
      <c r="H94" s="4">
        <v>0.95</v>
      </c>
      <c r="I94" t="s">
        <v>50</v>
      </c>
      <c r="J94" s="5">
        <v>2</v>
      </c>
      <c r="K94" s="4">
        <f t="shared" si="6"/>
        <v>1.9</v>
      </c>
    </row>
    <row r="96" spans="1:12">
      <c r="A96" s="5" t="s">
        <v>239</v>
      </c>
    </row>
    <row r="97" spans="2:11" hidden="1">
      <c r="B97" s="5" t="s">
        <v>62</v>
      </c>
      <c r="D97" s="6" t="s">
        <v>63</v>
      </c>
      <c r="E97" s="5">
        <v>346</v>
      </c>
      <c r="G97" s="5" t="s">
        <v>64</v>
      </c>
      <c r="H97" s="4">
        <v>27.17</v>
      </c>
      <c r="I97" s="5" t="s">
        <v>65</v>
      </c>
      <c r="J97" s="5">
        <v>0</v>
      </c>
      <c r="K97" s="4">
        <f>H97*J97</f>
        <v>0</v>
      </c>
    </row>
    <row r="98" spans="2:11" hidden="1">
      <c r="B98" s="5" t="s">
        <v>66</v>
      </c>
      <c r="D98" s="6" t="s">
        <v>67</v>
      </c>
      <c r="E98" s="5">
        <v>693</v>
      </c>
      <c r="G98" s="5" t="s">
        <v>64</v>
      </c>
      <c r="H98" s="4">
        <v>12.77</v>
      </c>
      <c r="I98" s="5" t="s">
        <v>68</v>
      </c>
      <c r="J98" s="5">
        <v>0</v>
      </c>
      <c r="K98" s="4">
        <f>H98*J98</f>
        <v>0</v>
      </c>
    </row>
    <row r="99" spans="2:11" hidden="1">
      <c r="B99" s="5" t="s">
        <v>69</v>
      </c>
      <c r="D99" s="3" t="s">
        <v>247</v>
      </c>
      <c r="E99" s="5" t="s">
        <v>71</v>
      </c>
      <c r="G99" s="5" t="s">
        <v>72</v>
      </c>
      <c r="H99" s="4">
        <v>1.52</v>
      </c>
      <c r="I99" s="5">
        <v>1</v>
      </c>
      <c r="J99" s="5">
        <v>0</v>
      </c>
      <c r="K99" s="4">
        <f>H99*J99</f>
        <v>0</v>
      </c>
    </row>
    <row r="102" spans="2:11">
      <c r="B102" s="5" t="s">
        <v>188</v>
      </c>
      <c r="C102" s="7" t="s">
        <v>140</v>
      </c>
      <c r="D102" s="6" t="s">
        <v>141</v>
      </c>
      <c r="G102" s="5" t="s">
        <v>22</v>
      </c>
      <c r="H102" s="4">
        <v>3.95</v>
      </c>
      <c r="I102" s="5">
        <v>12</v>
      </c>
      <c r="J102" s="5">
        <v>1</v>
      </c>
      <c r="K102" s="4">
        <f>H102*J102</f>
        <v>3.95</v>
      </c>
    </row>
    <row r="103" spans="2:11">
      <c r="B103" s="5" t="s">
        <v>189</v>
      </c>
      <c r="C103" s="5" t="s">
        <v>142</v>
      </c>
      <c r="D103" s="6" t="s">
        <v>143</v>
      </c>
      <c r="G103" s="5" t="s">
        <v>22</v>
      </c>
      <c r="H103" s="4">
        <v>4.95</v>
      </c>
      <c r="I103" s="5">
        <v>12</v>
      </c>
      <c r="J103" s="5">
        <v>1</v>
      </c>
      <c r="K103" s="4">
        <f>H103*J103</f>
        <v>4.95</v>
      </c>
    </row>
    <row r="104" spans="2:11" hidden="1">
      <c r="B104" s="5" t="s">
        <v>182</v>
      </c>
      <c r="C104" s="5" t="s">
        <v>126</v>
      </c>
      <c r="D104" s="6" t="s">
        <v>127</v>
      </c>
      <c r="G104" s="5" t="s">
        <v>22</v>
      </c>
      <c r="H104" s="4">
        <v>13.95</v>
      </c>
      <c r="I104" s="5">
        <v>12</v>
      </c>
      <c r="J104" s="5">
        <v>0</v>
      </c>
      <c r="K104" s="4">
        <f>H104*J104</f>
        <v>0</v>
      </c>
    </row>
    <row r="105" spans="2:11" hidden="1">
      <c r="B105" s="5" t="s">
        <v>191</v>
      </c>
      <c r="C105" s="5" t="s">
        <v>145</v>
      </c>
      <c r="D105" s="6" t="s">
        <v>149</v>
      </c>
      <c r="G105" s="5" t="s">
        <v>22</v>
      </c>
      <c r="H105" s="4">
        <v>12</v>
      </c>
      <c r="I105" s="5">
        <v>12</v>
      </c>
      <c r="J105" s="5">
        <v>0</v>
      </c>
      <c r="K105" s="4">
        <f>H105*J105</f>
        <v>0</v>
      </c>
    </row>
    <row r="108" spans="2:11">
      <c r="K108" s="4">
        <f>SUM(K2:K107)</f>
        <v>661.77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06"/>
  <sheetViews>
    <sheetView topLeftCell="A13" zoomScaleNormal="100" workbookViewId="0">
      <pane ySplit="660" topLeftCell="A50" activePane="bottomLeft"/>
      <selection activeCell="B1" sqref="B1"/>
      <selection pane="bottomLeft" activeCell="C70" sqref="C70"/>
    </sheetView>
  </sheetViews>
  <sheetFormatPr defaultRowHeight="12.75"/>
  <cols>
    <col min="1" max="1" width="9.140625" style="5"/>
    <col min="2" max="2" width="16" style="5" customWidth="1"/>
    <col min="3" max="3" width="28.28515625" style="5" customWidth="1"/>
    <col min="4" max="4" width="26.28515625" style="6" customWidth="1"/>
    <col min="5" max="5" width="11.7109375" style="5" customWidth="1"/>
    <col min="6" max="6" width="6" style="5" customWidth="1"/>
    <col min="7" max="7" width="13" style="5" customWidth="1"/>
    <col min="8" max="8" width="9" style="4" customWidth="1"/>
    <col min="9" max="9" width="12.425781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4</v>
      </c>
      <c r="K3" s="4">
        <f>H3*J3</f>
        <v>71.8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2</v>
      </c>
      <c r="K4" s="4">
        <f>H4*J4</f>
        <v>55.9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2</v>
      </c>
      <c r="K5" s="4">
        <f>H5*J5</f>
        <v>33.9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4</v>
      </c>
      <c r="K6" s="4">
        <f>H6*J6</f>
        <v>47.8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4</v>
      </c>
      <c r="K12" s="4">
        <f>H12*J12</f>
        <v>19.8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6</v>
      </c>
      <c r="K13" s="4">
        <f t="shared" ref="K13" si="0">H13*J13</f>
        <v>29.700000000000003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3</v>
      </c>
      <c r="K16" s="4">
        <f>H16*J16</f>
        <v>41.849999999999994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3</v>
      </c>
      <c r="K17" s="4">
        <f>H17*J17</f>
        <v>32.849999999999994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2</v>
      </c>
      <c r="K20" s="4">
        <f>H20*J20</f>
        <v>25.9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5</v>
      </c>
      <c r="K26" s="1">
        <f t="shared" ref="K26" si="1">H26*J26</f>
        <v>34.75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2</v>
      </c>
      <c r="K33" s="4">
        <f t="shared" ref="K33:K35" si="2">H33*J33</f>
        <v>59.9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1</v>
      </c>
      <c r="K42" s="4">
        <f t="shared" si="3"/>
        <v>29.95</v>
      </c>
    </row>
    <row r="43" spans="1:13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1</v>
      </c>
      <c r="K43" s="4">
        <f t="shared" si="3"/>
        <v>34.950000000000003</v>
      </c>
    </row>
    <row r="45" spans="1:13">
      <c r="A45" s="5" t="s">
        <v>240</v>
      </c>
    </row>
    <row r="46" spans="1:13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1</v>
      </c>
      <c r="K48" s="4">
        <f t="shared" si="4"/>
        <v>5.95</v>
      </c>
    </row>
    <row r="49" spans="1:13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4</v>
      </c>
      <c r="K50" s="4">
        <f t="shared" si="4"/>
        <v>63.8</v>
      </c>
      <c r="M50" s="5" t="s">
        <v>212</v>
      </c>
    </row>
    <row r="51" spans="1:13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6</v>
      </c>
      <c r="K53" s="4">
        <f t="shared" si="4"/>
        <v>11.7</v>
      </c>
    </row>
    <row r="54" spans="1:13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8</v>
      </c>
      <c r="K55" s="4">
        <f t="shared" si="4"/>
        <v>40</v>
      </c>
    </row>
    <row r="56" spans="1:13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4.25" customHeight="1">
      <c r="A68" t="s">
        <v>244</v>
      </c>
    </row>
    <row r="69" spans="1:13" ht="14.25" customHeight="1">
      <c r="C69" t="s">
        <v>246</v>
      </c>
    </row>
    <row r="70" spans="1:13" ht="14.25" customHeight="1">
      <c r="C70" s="5" t="s">
        <v>245</v>
      </c>
    </row>
    <row r="71" spans="1:13">
      <c r="A71" s="5" t="s">
        <v>232</v>
      </c>
    </row>
    <row r="72" spans="1:13">
      <c r="B72" s="5" t="s">
        <v>55</v>
      </c>
      <c r="C72" s="5" t="s">
        <v>89</v>
      </c>
      <c r="D72" s="6" t="s">
        <v>90</v>
      </c>
      <c r="G72" s="5" t="s">
        <v>22</v>
      </c>
      <c r="H72" s="4">
        <v>19.95</v>
      </c>
      <c r="I72" s="5">
        <v>1</v>
      </c>
      <c r="J72" s="5">
        <v>4</v>
      </c>
      <c r="K72" s="4">
        <f>H72*J72</f>
        <v>79.8</v>
      </c>
      <c r="M72" s="5" t="s">
        <v>209</v>
      </c>
    </row>
    <row r="73" spans="1:13" ht="16.5" customHeight="1">
      <c r="B73" s="5" t="s">
        <v>158</v>
      </c>
      <c r="C73" s="5" t="s">
        <v>81</v>
      </c>
      <c r="D73" s="6" t="s">
        <v>82</v>
      </c>
      <c r="G73" s="5" t="s">
        <v>22</v>
      </c>
      <c r="H73" s="4">
        <v>29.95</v>
      </c>
      <c r="I73" s="5">
        <v>2</v>
      </c>
      <c r="J73" s="5">
        <v>0</v>
      </c>
      <c r="K73" s="4">
        <f>H73*J73</f>
        <v>0</v>
      </c>
    </row>
    <row r="75" spans="1:13">
      <c r="A75" s="5" t="s">
        <v>234</v>
      </c>
    </row>
    <row r="76" spans="1:13">
      <c r="B76" s="5" t="s">
        <v>15</v>
      </c>
      <c r="D76" s="6" t="s">
        <v>16</v>
      </c>
      <c r="E76" s="5" t="s">
        <v>17</v>
      </c>
      <c r="G76" s="5" t="s">
        <v>18</v>
      </c>
      <c r="H76" s="4">
        <v>9.9499999999999993</v>
      </c>
      <c r="I76" s="5">
        <v>100</v>
      </c>
      <c r="J76" s="5">
        <v>0</v>
      </c>
      <c r="K76" s="4">
        <f t="shared" ref="K76:K91" si="6">H76*J76</f>
        <v>0</v>
      </c>
    </row>
    <row r="77" spans="1:13">
      <c r="B77" s="5" t="s">
        <v>19</v>
      </c>
      <c r="D77" s="6" t="s">
        <v>20</v>
      </c>
      <c r="E77" s="5" t="s">
        <v>21</v>
      </c>
      <c r="G77" s="5" t="s">
        <v>22</v>
      </c>
      <c r="H77" s="4">
        <v>9.9499999999999993</v>
      </c>
      <c r="I77" s="5">
        <v>100</v>
      </c>
      <c r="J77" s="5">
        <v>0</v>
      </c>
      <c r="K77" s="4">
        <f t="shared" si="6"/>
        <v>0</v>
      </c>
    </row>
    <row r="78" spans="1:13">
      <c r="B78" s="5" t="s">
        <v>25</v>
      </c>
      <c r="D78" s="6" t="s">
        <v>26</v>
      </c>
      <c r="E78" s="5" t="s">
        <v>27</v>
      </c>
      <c r="G78" s="5" t="s">
        <v>22</v>
      </c>
      <c r="H78" s="4">
        <v>8.9499999999999993</v>
      </c>
      <c r="I78" s="5">
        <v>50</v>
      </c>
      <c r="J78" s="5">
        <v>0</v>
      </c>
      <c r="K78" s="4">
        <f t="shared" si="6"/>
        <v>0</v>
      </c>
    </row>
    <row r="79" spans="1:13">
      <c r="B79" s="5" t="s">
        <v>23</v>
      </c>
      <c r="C79" s="5" t="s">
        <v>130</v>
      </c>
      <c r="D79" s="6" t="s">
        <v>131</v>
      </c>
      <c r="G79" s="5" t="s">
        <v>22</v>
      </c>
      <c r="H79" s="4">
        <v>2.95</v>
      </c>
      <c r="I79" s="5">
        <v>100</v>
      </c>
      <c r="J79" s="5">
        <v>0</v>
      </c>
      <c r="K79" s="4">
        <f>H79*J79</f>
        <v>0</v>
      </c>
    </row>
    <row r="80" spans="1:13">
      <c r="B80" s="5" t="s">
        <v>185</v>
      </c>
      <c r="C80" s="5" t="s">
        <v>132</v>
      </c>
      <c r="D80" s="6" t="s">
        <v>133</v>
      </c>
      <c r="G80" s="5" t="s">
        <v>22</v>
      </c>
      <c r="H80" s="4">
        <v>9.9499999999999993</v>
      </c>
      <c r="I80" s="5">
        <v>100</v>
      </c>
      <c r="J80" s="5">
        <v>0</v>
      </c>
      <c r="K80" s="4">
        <f>H80*J80</f>
        <v>0</v>
      </c>
    </row>
    <row r="81" spans="1:12" ht="17.25" customHeight="1">
      <c r="B81" s="5" t="s">
        <v>184</v>
      </c>
      <c r="C81" s="5" t="s">
        <v>134</v>
      </c>
      <c r="D81" s="6" t="s">
        <v>135</v>
      </c>
      <c r="G81" s="5" t="s">
        <v>22</v>
      </c>
      <c r="H81" s="4">
        <v>9.9499999999999993</v>
      </c>
      <c r="I81" s="5">
        <v>100</v>
      </c>
      <c r="J81" s="5">
        <v>0</v>
      </c>
      <c r="K81" s="4">
        <f>H81*J81</f>
        <v>0</v>
      </c>
    </row>
    <row r="82" spans="1:12">
      <c r="B82" s="5" t="s">
        <v>190</v>
      </c>
      <c r="C82" s="5" t="s">
        <v>144</v>
      </c>
      <c r="D82" s="6" t="s">
        <v>148</v>
      </c>
      <c r="G82" s="5" t="s">
        <v>22</v>
      </c>
      <c r="H82" s="4">
        <v>8.9499999999999993</v>
      </c>
      <c r="I82" s="5">
        <v>50</v>
      </c>
      <c r="J82" s="5">
        <v>0</v>
      </c>
      <c r="K82" s="4">
        <f>H82*J82</f>
        <v>0</v>
      </c>
    </row>
    <row r="85" spans="1:12">
      <c r="A85" s="5" t="s">
        <v>237</v>
      </c>
    </row>
    <row r="86" spans="1:12">
      <c r="B86" s="5" t="s">
        <v>44</v>
      </c>
      <c r="C86" s="5" t="s">
        <v>91</v>
      </c>
      <c r="D86" s="6" t="s">
        <v>92</v>
      </c>
      <c r="E86" s="5" t="s">
        <v>242</v>
      </c>
      <c r="G86" s="5" t="s">
        <v>22</v>
      </c>
      <c r="H86" s="4">
        <v>49.95</v>
      </c>
      <c r="I86" s="5">
        <v>1</v>
      </c>
      <c r="J86" s="5">
        <v>1</v>
      </c>
      <c r="K86" s="4">
        <f>H86*J86</f>
        <v>49.95</v>
      </c>
    </row>
    <row r="87" spans="1:12">
      <c r="B87" s="5" t="s">
        <v>159</v>
      </c>
      <c r="C87" s="5" t="s">
        <v>85</v>
      </c>
      <c r="D87" s="6" t="s">
        <v>86</v>
      </c>
      <c r="G87" s="5" t="s">
        <v>22</v>
      </c>
      <c r="H87" s="4">
        <v>5.95</v>
      </c>
      <c r="I87" s="5">
        <v>1</v>
      </c>
      <c r="J87" s="5">
        <v>2</v>
      </c>
      <c r="K87" s="4">
        <f>H87*J87</f>
        <v>11.9</v>
      </c>
      <c r="L87" s="11"/>
    </row>
    <row r="88" spans="1:12">
      <c r="B88" s="5" t="s">
        <v>163</v>
      </c>
      <c r="C88" s="5" t="s">
        <v>161</v>
      </c>
      <c r="D88" s="6" t="s">
        <v>162</v>
      </c>
      <c r="G88" s="5" t="s">
        <v>22</v>
      </c>
      <c r="H88" s="4">
        <v>24.95</v>
      </c>
      <c r="I88" s="5">
        <v>1</v>
      </c>
      <c r="J88" s="5">
        <v>1</v>
      </c>
      <c r="K88" s="4">
        <f>H88*J88</f>
        <v>24.95</v>
      </c>
    </row>
    <row r="90" spans="1:12">
      <c r="A90" s="5" t="s">
        <v>238</v>
      </c>
    </row>
    <row r="91" spans="1:12">
      <c r="B91" s="5" t="s">
        <v>47</v>
      </c>
      <c r="D91" s="6" t="s">
        <v>48</v>
      </c>
      <c r="E91" s="5" t="s">
        <v>49</v>
      </c>
      <c r="G91" s="5" t="s">
        <v>22</v>
      </c>
      <c r="H91" s="4">
        <v>0.95</v>
      </c>
      <c r="I91" s="5" t="s">
        <v>50</v>
      </c>
      <c r="J91" s="5">
        <v>16</v>
      </c>
      <c r="K91" s="4">
        <f t="shared" si="6"/>
        <v>15.2</v>
      </c>
    </row>
    <row r="92" spans="1:12">
      <c r="B92" s="5" t="s">
        <v>51</v>
      </c>
      <c r="D92" s="6" t="s">
        <v>52</v>
      </c>
      <c r="G92" s="5" t="s">
        <v>22</v>
      </c>
      <c r="H92" s="4">
        <v>16.95</v>
      </c>
      <c r="I92" s="5">
        <v>1</v>
      </c>
      <c r="J92" s="5">
        <v>0</v>
      </c>
      <c r="K92" s="4">
        <f>H92*J92</f>
        <v>0</v>
      </c>
    </row>
    <row r="94" spans="1:12">
      <c r="A94" s="5" t="s">
        <v>239</v>
      </c>
    </row>
    <row r="95" spans="1:12">
      <c r="B95" s="5" t="s">
        <v>62</v>
      </c>
      <c r="D95" s="6" t="s">
        <v>63</v>
      </c>
      <c r="E95" s="5">
        <v>346</v>
      </c>
      <c r="G95" s="5" t="s">
        <v>64</v>
      </c>
      <c r="H95" s="4">
        <v>27.17</v>
      </c>
      <c r="I95" s="5" t="s">
        <v>65</v>
      </c>
      <c r="J95" s="5">
        <v>1</v>
      </c>
      <c r="K95" s="4">
        <f>H95*J95</f>
        <v>27.17</v>
      </c>
    </row>
    <row r="96" spans="1:12">
      <c r="B96" s="5" t="s">
        <v>66</v>
      </c>
      <c r="D96" s="6" t="s">
        <v>67</v>
      </c>
      <c r="E96" s="5">
        <v>693</v>
      </c>
      <c r="G96" s="5" t="s">
        <v>64</v>
      </c>
      <c r="H96" s="4">
        <v>12.77</v>
      </c>
      <c r="I96" s="5" t="s">
        <v>68</v>
      </c>
      <c r="J96" s="5">
        <v>0</v>
      </c>
      <c r="K96" s="4">
        <f>H96*J96</f>
        <v>0</v>
      </c>
    </row>
    <row r="97" spans="2:11">
      <c r="B97" s="5" t="s">
        <v>69</v>
      </c>
      <c r="D97" s="6" t="s">
        <v>70</v>
      </c>
      <c r="E97" s="5" t="s">
        <v>71</v>
      </c>
      <c r="G97" s="5" t="s">
        <v>72</v>
      </c>
      <c r="H97" s="4">
        <v>1.52</v>
      </c>
      <c r="I97" s="5">
        <v>1</v>
      </c>
      <c r="J97" s="5">
        <v>8</v>
      </c>
      <c r="K97" s="4">
        <f>H97*J97</f>
        <v>12.16</v>
      </c>
    </row>
    <row r="100" spans="2:11">
      <c r="B100" s="5" t="s">
        <v>188</v>
      </c>
      <c r="C100" s="7" t="s">
        <v>140</v>
      </c>
      <c r="D100" s="6" t="s">
        <v>141</v>
      </c>
      <c r="G100" s="5" t="s">
        <v>22</v>
      </c>
      <c r="H100" s="4">
        <v>3.95</v>
      </c>
      <c r="I100" s="5">
        <v>12</v>
      </c>
      <c r="J100" s="5">
        <v>1</v>
      </c>
      <c r="K100" s="4">
        <f>H100*J100</f>
        <v>3.95</v>
      </c>
    </row>
    <row r="101" spans="2:11">
      <c r="B101" s="5" t="s">
        <v>189</v>
      </c>
      <c r="C101" s="5" t="s">
        <v>142</v>
      </c>
      <c r="D101" s="6" t="s">
        <v>143</v>
      </c>
      <c r="G101" s="5" t="s">
        <v>22</v>
      </c>
      <c r="H101" s="4">
        <v>4.95</v>
      </c>
      <c r="I101" s="5">
        <v>12</v>
      </c>
      <c r="J101" s="5">
        <v>1</v>
      </c>
      <c r="K101" s="4">
        <f>H101*J101</f>
        <v>4.95</v>
      </c>
    </row>
    <row r="102" spans="2:11">
      <c r="B102" s="5" t="s">
        <v>182</v>
      </c>
      <c r="C102" s="5" t="s">
        <v>126</v>
      </c>
      <c r="D102" s="6" t="s">
        <v>127</v>
      </c>
      <c r="G102" s="5" t="s">
        <v>22</v>
      </c>
      <c r="H102" s="4">
        <v>13.95</v>
      </c>
      <c r="I102" s="5">
        <v>12</v>
      </c>
      <c r="J102" s="5">
        <v>0</v>
      </c>
      <c r="K102" s="4">
        <f>H102*J102</f>
        <v>0</v>
      </c>
    </row>
    <row r="103" spans="2:11">
      <c r="B103" s="5" t="s">
        <v>191</v>
      </c>
      <c r="C103" s="5" t="s">
        <v>145</v>
      </c>
      <c r="D103" s="6" t="s">
        <v>149</v>
      </c>
      <c r="G103" s="5" t="s">
        <v>22</v>
      </c>
      <c r="H103" s="4">
        <v>12</v>
      </c>
      <c r="I103" s="5">
        <v>12</v>
      </c>
      <c r="J103" s="5">
        <v>0</v>
      </c>
      <c r="K103" s="4">
        <f>H103*J103</f>
        <v>0</v>
      </c>
    </row>
    <row r="106" spans="2:11">
      <c r="K106" s="4">
        <f>SUM(K2:K105)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N85"/>
  <sheetViews>
    <sheetView zoomScale="130" zoomScaleNormal="130" workbookViewId="0">
      <pane ySplit="780" topLeftCell="A70" activePane="bottomLeft"/>
      <selection activeCell="B2" sqref="B2"/>
      <selection pane="bottomLeft" activeCell="J87" sqref="J87:J88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K4" s="8"/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  <c r="K14" s="8"/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  <c r="K16" s="8"/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  <c r="K22" s="8"/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  <c r="K23" s="8"/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  <c r="K25" s="8"/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  <c r="K31" s="8"/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  <c r="K35" s="8"/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K37" s="8"/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  <c r="K38" s="8"/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  <c r="K39" s="8"/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  <c r="K40" s="8"/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  <c r="K41" s="8"/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  <c r="K43" s="8"/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  <c r="K44" s="8"/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  <c r="K45" s="8"/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  <c r="K46" s="8"/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  <c r="K47" s="8"/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  <c r="K48" s="8"/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  <c r="K49" s="8"/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  <c r="K50" s="8"/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  <c r="K51" s="8"/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  <c r="K54" s="8"/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  <c r="K55" s="8"/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K56" s="8"/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  <c r="K57" s="8"/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  <c r="K59" s="8"/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  <c r="K65" s="8"/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  <c r="K66" s="8"/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  <c r="K69" s="8"/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  <c r="K72" s="10"/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  <c r="K79" s="10"/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  <c r="K80" s="10"/>
    </row>
    <row r="81" spans="1:11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  <c r="K81" s="10"/>
    </row>
    <row r="82" spans="1:11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  <c r="K82" s="10"/>
    </row>
    <row r="83" spans="1:11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  <c r="K83" s="10"/>
    </row>
    <row r="84" spans="1:11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  <c r="K84" s="10"/>
    </row>
    <row r="85" spans="1:11">
      <c r="J85" s="1">
        <f>SUM(J2:J84)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 (4)</vt:lpstr>
      <vt:lpstr>order (3)</vt:lpstr>
      <vt:lpstr>order</vt:lpstr>
      <vt:lpstr>order (2)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2015-09-26T03:19:50Z</dcterms:modified>
  <dc:language>en-US</dc:language>
</cp:coreProperties>
</file>