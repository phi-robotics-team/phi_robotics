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/>
  </bookViews>
  <sheets>
    <sheet name="order" sheetId="2" r:id="rId1"/>
    <sheet name="Sheet1" sheetId="1" r:id="rId2"/>
  </sheets>
  <calcPr calcId="125725"/>
</workbook>
</file>

<file path=xl/calcChain.xml><?xml version="1.0" encoding="utf-8"?>
<calcChain xmlns="http://schemas.openxmlformats.org/spreadsheetml/2006/main">
  <c r="J84" i="2"/>
  <c r="J83"/>
  <c r="J82"/>
  <c r="J81"/>
  <c r="J80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28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J25" i="1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J85" i="2" l="1"/>
</calcChain>
</file>

<file path=xl/comments1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2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sharedStrings.xml><?xml version="1.0" encoding="utf-8"?>
<sst xmlns="http://schemas.openxmlformats.org/spreadsheetml/2006/main" count="597" uniqueCount="227">
  <si>
    <t>part Number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</si>
  <si>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</si>
  <si>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</si>
  <si>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</si>
  <si>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</si>
  <si>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</si>
  <si>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</si>
  <si>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</si>
  <si>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</si>
  <si>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AZ39069</t>
  </si>
  <si>
    <t>C-channel</t>
  </si>
  <si>
    <t>416mm</t>
  </si>
  <si>
    <t>Pitsco(Tetrix)</t>
  </si>
  <si>
    <t>AZ39281</t>
  </si>
  <si>
    <t>Inside Corner Bracket</t>
  </si>
  <si>
    <t>AZ39098</t>
  </si>
  <si>
    <t>Small screw</t>
  </si>
  <si>
    <t>Small</t>
  </si>
  <si>
    <t>pitsco(Tetrix)</t>
  </si>
  <si>
    <t>AZ39097</t>
  </si>
  <si>
    <t>Medium screw</t>
  </si>
  <si>
    <t>Medium</t>
  </si>
  <si>
    <t>Pitsco(tetrix)</t>
  </si>
  <si>
    <t>AZ39094</t>
  </si>
  <si>
    <t>Kep Nuts</t>
  </si>
  <si>
    <t>AZ39111</t>
  </si>
  <si>
    <t>Flat screws</t>
  </si>
  <si>
    <t>3 8</t>
  </si>
  <si>
    <t>AZ39197</t>
  </si>
  <si>
    <t>180 servo</t>
  </si>
  <si>
    <t>AZ39172</t>
  </si>
  <si>
    <t>Axle Hub</t>
  </si>
  <si>
    <t>Axle</t>
  </si>
  <si>
    <t>AZ39088</t>
  </si>
  <si>
    <t>Axle</t>
  </si>
  <si>
    <t>100mm</t>
  </si>
  <si>
    <t>AZ35871</t>
  </si>
  <si>
    <t>250mm</t>
  </si>
  <si>
    <t>AZ39079</t>
  </si>
  <si>
    <t>Motor Shaft Hubs</t>
  </si>
  <si>
    <t>Motor</t>
  </si>
  <si>
    <t>AZ39173</t>
  </si>
  <si>
    <t>Chain with Links</t>
  </si>
  <si>
    <t>5 feet</t>
  </si>
  <si>
    <t>AZ39057</t>
  </si>
  <si>
    <t>12volt nimh battery pack</t>
  </si>
  <si>
    <t>12 volt</t>
  </si>
  <si>
    <t>AZ39104</t>
  </si>
  <si>
    <t>Hex Keys</t>
  </si>
  <si>
    <t>Each size</t>
  </si>
  <si>
    <t>4 each size</t>
  </si>
  <si>
    <t>AZ39217</t>
  </si>
  <si>
    <t>Chain Breaker Tool</t>
  </si>
  <si>
    <t>motor controller</t>
  </si>
  <si>
    <t>servo controller</t>
  </si>
  <si>
    <t>AZ39055</t>
  </si>
  <si>
    <t>Wheel</t>
  </si>
  <si>
    <t>4”</t>
  </si>
  <si>
    <t>AZ39089</t>
  </si>
  <si>
    <t>Motor Mount</t>
  </si>
  <si>
    <t>AZ31903</t>
  </si>
  <si>
    <t>Motor power cable</t>
  </si>
  <si>
    <t>8800k43</t>
  </si>
  <si>
    <t>Kevlar Thread</t>
  </si>
  <si>
    <t>McMaster carr</t>
  </si>
  <si>
    <t>66 yards</t>
  </si>
  <si>
    <t>87635k63</t>
  </si>
  <si>
    <t>polyester thread</t>
  </si>
  <si>
    <t>120 yards</t>
  </si>
  <si>
    <t>3434T33</t>
  </si>
  <si>
    <t>tread pulleys</t>
  </si>
  <si>
    <t>3 64</t>
  </si>
  <si>
    <t>MCMaster carr</t>
  </si>
  <si>
    <t>Core_motor Controller</t>
  </si>
  <si>
    <t>Core_Power_Distribution_Module</t>
  </si>
  <si>
    <t>Core_Servo_Controller</t>
  </si>
  <si>
    <t>Part Name</t>
  </si>
  <si>
    <t>TETRIX_731901_120_2013</t>
  </si>
  <si>
    <t>120-Tooth Gear</t>
  </si>
  <si>
    <t>TETRIX_731903_2012</t>
  </si>
  <si>
    <t>Motor Power Wire</t>
  </si>
  <si>
    <t>TETRIX_736466_2012</t>
  </si>
  <si>
    <t>4” Dual Omni Wheel Assembly</t>
  </si>
  <si>
    <t>TETRIX_738000_2012</t>
  </si>
  <si>
    <t>Motor Encoder</t>
  </si>
  <si>
    <t>TETRIX_738009_BATPACK_BRKT_2013</t>
  </si>
  <si>
    <t>Battery Clip</t>
  </si>
  <si>
    <t>TETRIX_739028_2012</t>
  </si>
  <si>
    <t>40-Tooth Gear</t>
  </si>
  <si>
    <t>TETRIX_739055_2012</t>
  </si>
  <si>
    <t>4" Wheel</t>
  </si>
  <si>
    <t>TETRIX_739057_2012</t>
  </si>
  <si>
    <t>Battery Pack</t>
  </si>
  <si>
    <t>TETRIX_739060_2012</t>
  </si>
  <si>
    <t>Single Standard Scale Servo Bracket</t>
  </si>
  <si>
    <t>TETRIX_739061_2012</t>
  </si>
  <si>
    <t>Flat Bracket</t>
  </si>
  <si>
    <t>TETRIX_739062_2012</t>
  </si>
  <si>
    <t>L Bracket</t>
  </si>
  <si>
    <t>TETRIX_739065_2012</t>
  </si>
  <si>
    <t>32mm Channel</t>
  </si>
  <si>
    <t>TETRIX_739066_2012</t>
  </si>
  <si>
    <t>96mm Channel</t>
  </si>
  <si>
    <t>TETRIX_739067_2012</t>
  </si>
  <si>
    <t>160m Channel</t>
  </si>
  <si>
    <t>TETRIX_739068_2012</t>
  </si>
  <si>
    <t>288mm Channel</t>
  </si>
  <si>
    <t>TETRIX_739069_2012</t>
  </si>
  <si>
    <t>416mm Channel</t>
  </si>
  <si>
    <t>TETRIX_739071_2012</t>
  </si>
  <si>
    <t>288mm Angle</t>
  </si>
  <si>
    <t>TETRIX_739072_2012</t>
  </si>
  <si>
    <t>144mm Angle</t>
  </si>
  <si>
    <t>TETRIX_739073_2012</t>
  </si>
  <si>
    <t>Flat Building Plage</t>
  </si>
  <si>
    <t>TETRIX_739079_2012</t>
  </si>
  <si>
    <t>Motor Hub</t>
  </si>
  <si>
    <t>TETRIX_739083_2012</t>
  </si>
  <si>
    <t>TETRIX DC Motor</t>
  </si>
  <si>
    <t>TETRIX_739086_2012</t>
  </si>
  <si>
    <t>80-Tooth Gear</t>
  </si>
  <si>
    <t>TETRIX_739088_2013</t>
  </si>
  <si>
    <t>TETRIX_739089_2012</t>
  </si>
  <si>
    <t>DC Motor Mount</t>
  </si>
  <si>
    <t>TETRIX_739090_2012</t>
  </si>
  <si>
    <t>Gear Hub Spacer</t>
  </si>
  <si>
    <t>TETRIX_739091_2013</t>
  </si>
  <si>
    <t>Bronze Bushing</t>
  </si>
  <si>
    <t>TETRIX_739092_ 2012</t>
  </si>
  <si>
    <t>Axel Collar</t>
  </si>
  <si>
    <t>TETRIX_739094_2013</t>
  </si>
  <si>
    <t>Kep Nut</t>
  </si>
  <si>
    <t>TETRIX_739097_2013</t>
  </si>
  <si>
    <t>1/2" Socket Head Cap Screw</t>
  </si>
  <si>
    <t>TETRIX_739098_2012</t>
  </si>
  <si>
    <t>5/16" Socket Head Cap Screw</t>
  </si>
  <si>
    <t>TETRIX_739100_2012</t>
  </si>
  <si>
    <t>1/8" Axel Spacer</t>
  </si>
  <si>
    <t>TETRIX_739101_2012</t>
  </si>
  <si>
    <t>3/8" Axel Spacer</t>
  </si>
  <si>
    <t>TETRIX_739102_2012</t>
  </si>
  <si>
    <t>1" Stand-off</t>
  </si>
  <si>
    <t>TETRIX_739107_2013</t>
  </si>
  <si>
    <t>32mm Stand-of</t>
  </si>
  <si>
    <t>TETRIX_739111_2012</t>
  </si>
  <si>
    <t>TETRIX_739120_2012</t>
  </si>
  <si>
    <t>TETRIX_739172_ 2012</t>
  </si>
  <si>
    <t>TETRIX_739270_2013</t>
  </si>
  <si>
    <t>Button Head Cap Screw</t>
  </si>
  <si>
    <t>Hard Point Connector</t>
  </si>
  <si>
    <t>Axel Hub</t>
  </si>
  <si>
    <t>Motor Mount Screw</t>
  </si>
  <si>
    <t>Standard-Scale HS-485HB Servo Motor</t>
  </si>
  <si>
    <t>Inside C Connector</t>
  </si>
  <si>
    <t>AZ34303</t>
  </si>
  <si>
    <t>AZ34302</t>
  </si>
  <si>
    <t>AZ36465</t>
  </si>
  <si>
    <t>AZ39085</t>
  </si>
  <si>
    <t>AZ36466</t>
  </si>
  <si>
    <t>AZ38009</t>
  </si>
  <si>
    <t>AZ39028</t>
  </si>
  <si>
    <t>TETRIX</t>
  </si>
  <si>
    <t>Battery Pack Charger</t>
  </si>
  <si>
    <t>az39830</t>
  </si>
  <si>
    <t>Gear Hub Spacers</t>
  </si>
  <si>
    <t>AZ39090</t>
  </si>
  <si>
    <t>AZ39060</t>
  </si>
  <si>
    <t>AZ39061</t>
  </si>
  <si>
    <t>AZ39062</t>
  </si>
  <si>
    <t>AZ39065</t>
  </si>
  <si>
    <t>AZ39066</t>
  </si>
  <si>
    <t>AZ39067</t>
  </si>
  <si>
    <t>AZ39068</t>
  </si>
  <si>
    <t>AZ39270</t>
  </si>
  <si>
    <t>AZ39071</t>
  </si>
  <si>
    <t>AZ39072</t>
  </si>
  <si>
    <t>AZ39073</t>
  </si>
  <si>
    <t>AZ39530</t>
  </si>
  <si>
    <t>AZ39086</t>
  </si>
  <si>
    <t>100 mm Axle</t>
  </si>
  <si>
    <t xml:space="preserve">250 mm Axle </t>
  </si>
  <si>
    <t>AZ39376</t>
  </si>
  <si>
    <t>AZ39091</t>
  </si>
  <si>
    <t>AZ39092</t>
  </si>
  <si>
    <t>W39098</t>
  </si>
  <si>
    <t>W39097</t>
  </si>
  <si>
    <t>W39100</t>
  </si>
  <si>
    <t>W39101</t>
  </si>
  <si>
    <t>W39102</t>
  </si>
  <si>
    <t>W39107</t>
  </si>
  <si>
    <t>W39111</t>
  </si>
  <si>
    <t>W39120</t>
  </si>
  <si>
    <t>W39172</t>
  </si>
  <si>
    <t xml:space="preserve">MOTOR MOUNT </t>
  </si>
  <si>
    <t>TETRIX_MAXMOTORMOUNT</t>
  </si>
  <si>
    <t>W3989</t>
  </si>
  <si>
    <t>w380000</t>
  </si>
  <si>
    <t>NEVEREST_60_MOTOR</t>
  </si>
  <si>
    <t>AM-3103</t>
  </si>
  <si>
    <t>Motor with encoder</t>
  </si>
  <si>
    <t>Andymark</t>
  </si>
  <si>
    <t>1.46"dia</t>
  </si>
  <si>
    <t>AM-2992</t>
  </si>
  <si>
    <t>19.5"</t>
  </si>
  <si>
    <t>AndyMark</t>
  </si>
  <si>
    <t>hall_affect_encoder_cable</t>
  </si>
  <si>
    <t>encoder cable with 4_pin connector</t>
  </si>
  <si>
    <t>have 3- don't know how many work.</t>
  </si>
  <si>
    <t>Have 1 new one</t>
  </si>
  <si>
    <t>Check with Andy Mark</t>
  </si>
  <si>
    <t>Order from andy aMark with encoder.</t>
  </si>
  <si>
    <t>6 DC motors</t>
  </si>
  <si>
    <t>Verify</t>
  </si>
  <si>
    <t>duplicate</t>
  </si>
  <si>
    <t>AZ38007</t>
  </si>
  <si>
    <t>Tetrix Max Vevel Gear &amp; Acetal Bearings</t>
  </si>
  <si>
    <t>AZ39375</t>
  </si>
  <si>
    <t>Tetrix Max Worm Gear Box</t>
  </si>
  <si>
    <t>4:1 worm gear</t>
  </si>
  <si>
    <t>AZ39171</t>
  </si>
  <si>
    <t>Tetrix Max 32-Tooth Sprocket Pack</t>
  </si>
  <si>
    <t>Chain sprockets</t>
  </si>
  <si>
    <t>32 tooth</t>
  </si>
  <si>
    <t>Az39169</t>
  </si>
  <si>
    <t>Tetrix Max 24-Tooth Sprocket Pack</t>
  </si>
  <si>
    <t>Az39165</t>
  </si>
  <si>
    <t>Tetrix Max 16-Tooth Sprocket Pack</t>
  </si>
</sst>
</file>

<file path=xl/styles.xml><?xml version="1.0" encoding="utf-8"?>
<styleSheet xmlns="http://schemas.openxmlformats.org/spreadsheetml/2006/main">
  <numFmts count="1">
    <numFmt numFmtId="164" formatCode="[$$-409]#,##0.00;[Red]\-[$$-409]#,##0.00"/>
  </numFmts>
  <fonts count="3"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164" fontId="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85"/>
  <sheetViews>
    <sheetView tabSelected="1" zoomScale="130" zoomScaleNormal="130" workbookViewId="0">
      <pane ySplit="780" topLeftCell="A17" activePane="bottomLeft"/>
      <selection activeCell="C1" sqref="C1:C1048576"/>
      <selection pane="bottomLeft" activeCell="K14" sqref="K14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" customWidth="1"/>
    <col min="7" max="7" width="9" style="1" customWidth="1"/>
    <col min="8" max="8" width="12.42578125" customWidth="1"/>
    <col min="9" max="9" width="8.85546875" customWidth="1"/>
    <col min="10" max="10" width="9.140625" style="1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0</v>
      </c>
      <c r="J2" s="1">
        <f>G2*I2</f>
        <v>0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0</v>
      </c>
      <c r="J5" s="1">
        <f t="shared" si="0"/>
        <v>0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0</v>
      </c>
      <c r="J6" s="1">
        <f t="shared" si="0"/>
        <v>0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0</v>
      </c>
      <c r="J7" s="1">
        <f t="shared" si="0"/>
        <v>0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0</v>
      </c>
      <c r="J8" s="1">
        <f t="shared" si="0"/>
        <v>0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0</v>
      </c>
      <c r="J9" s="1">
        <f t="shared" si="0"/>
        <v>0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0</v>
      </c>
      <c r="J10" s="1">
        <f t="shared" si="0"/>
        <v>0</v>
      </c>
    </row>
    <row r="11" spans="1:14">
      <c r="A11" t="s">
        <v>33</v>
      </c>
      <c r="C11" s="3" t="s">
        <v>32</v>
      </c>
      <c r="D11" t="s">
        <v>35</v>
      </c>
      <c r="F11" t="s">
        <v>22</v>
      </c>
      <c r="G11" s="1">
        <v>15.95</v>
      </c>
      <c r="H11">
        <v>6</v>
      </c>
      <c r="I11">
        <v>0</v>
      </c>
      <c r="J11" s="1">
        <f t="shared" si="0"/>
        <v>0</v>
      </c>
    </row>
    <row r="12" spans="1:14">
      <c r="A12" t="s">
        <v>36</v>
      </c>
      <c r="C12" s="3" t="s">
        <v>32</v>
      </c>
      <c r="D12" t="s">
        <v>37</v>
      </c>
      <c r="F12" t="s">
        <v>22</v>
      </c>
      <c r="G12" s="1">
        <v>15.95</v>
      </c>
      <c r="H12">
        <v>3</v>
      </c>
      <c r="I12">
        <v>0</v>
      </c>
      <c r="J12" s="1">
        <f t="shared" si="0"/>
        <v>0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0</v>
      </c>
      <c r="J13" s="1">
        <f t="shared" si="0"/>
        <v>0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0</v>
      </c>
      <c r="J15" s="1">
        <f t="shared" si="0"/>
        <v>0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16</v>
      </c>
      <c r="J16" s="1">
        <f t="shared" si="0"/>
        <v>15.2</v>
      </c>
    </row>
    <row r="17" spans="1:12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0</v>
      </c>
      <c r="J17" s="1">
        <f t="shared" si="0"/>
        <v>0</v>
      </c>
    </row>
    <row r="18" spans="1:12">
      <c r="C18" s="3" t="s">
        <v>53</v>
      </c>
      <c r="F18" t="s">
        <v>22</v>
      </c>
      <c r="J18" s="1">
        <f t="shared" si="0"/>
        <v>0</v>
      </c>
    </row>
    <row r="19" spans="1:12">
      <c r="C19" s="3" t="s">
        <v>54</v>
      </c>
      <c r="F19" t="s">
        <v>22</v>
      </c>
      <c r="J19" s="1">
        <f t="shared" si="0"/>
        <v>0</v>
      </c>
    </row>
    <row r="20" spans="1:12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0</v>
      </c>
      <c r="J20" s="1">
        <f t="shared" si="0"/>
        <v>0</v>
      </c>
    </row>
    <row r="21" spans="1:12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0</v>
      </c>
      <c r="J21" s="1">
        <f t="shared" si="0"/>
        <v>0</v>
      </c>
    </row>
    <row r="22" spans="1:12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6</v>
      </c>
      <c r="J22" s="1">
        <f t="shared" si="0"/>
        <v>11.7</v>
      </c>
    </row>
    <row r="23" spans="1:12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</row>
    <row r="24" spans="1:12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0</v>
      </c>
      <c r="J24" s="1">
        <f t="shared" si="0"/>
        <v>0</v>
      </c>
    </row>
    <row r="25" spans="1:12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8</v>
      </c>
      <c r="J25" s="1">
        <f t="shared" si="0"/>
        <v>12.16</v>
      </c>
    </row>
    <row r="28" spans="1:12">
      <c r="A28" t="s">
        <v>154</v>
      </c>
      <c r="B28" t="s">
        <v>73</v>
      </c>
      <c r="F28" t="s">
        <v>22</v>
      </c>
      <c r="G28" s="1">
        <v>89.95</v>
      </c>
      <c r="H28">
        <v>1</v>
      </c>
      <c r="I28">
        <v>0</v>
      </c>
      <c r="J28" s="1">
        <f t="shared" ref="J28:J84" si="1">G28*I28</f>
        <v>0</v>
      </c>
      <c r="L28" t="s">
        <v>207</v>
      </c>
    </row>
    <row r="29" spans="1:12">
      <c r="B29" t="s">
        <v>74</v>
      </c>
      <c r="I29">
        <v>0</v>
      </c>
      <c r="J29" s="1">
        <f t="shared" si="1"/>
        <v>0</v>
      </c>
      <c r="L29" t="s">
        <v>208</v>
      </c>
    </row>
    <row r="30" spans="1:12">
      <c r="A30" t="s">
        <v>155</v>
      </c>
      <c r="B30" t="s">
        <v>75</v>
      </c>
      <c r="F30" t="s">
        <v>22</v>
      </c>
      <c r="G30" s="1">
        <v>79.95</v>
      </c>
      <c r="H30">
        <v>1</v>
      </c>
      <c r="I30">
        <v>0</v>
      </c>
      <c r="J30" s="1">
        <f t="shared" si="1"/>
        <v>0</v>
      </c>
    </row>
    <row r="31" spans="1:12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  <c r="I31">
        <v>1</v>
      </c>
      <c r="J31" s="1">
        <f t="shared" si="1"/>
        <v>27.95</v>
      </c>
    </row>
    <row r="32" spans="1:12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  <c r="I32">
        <v>0</v>
      </c>
      <c r="J32" s="1">
        <f t="shared" si="1"/>
        <v>0</v>
      </c>
    </row>
    <row r="33" spans="1:12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  <c r="I33">
        <v>0</v>
      </c>
      <c r="J33" s="1">
        <f t="shared" si="1"/>
        <v>0</v>
      </c>
    </row>
    <row r="34" spans="1:12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  <c r="J34" s="1">
        <f t="shared" si="1"/>
        <v>0</v>
      </c>
    </row>
    <row r="35" spans="1:12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  <c r="I35">
        <v>2</v>
      </c>
      <c r="J35" s="1">
        <f t="shared" si="1"/>
        <v>11.9</v>
      </c>
    </row>
    <row r="36" spans="1:12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  <c r="I36">
        <v>0</v>
      </c>
      <c r="J36" s="1">
        <f t="shared" si="1"/>
        <v>0</v>
      </c>
    </row>
    <row r="37" spans="1:12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  <c r="I37">
        <v>4</v>
      </c>
      <c r="J37" s="1">
        <f t="shared" si="1"/>
        <v>79.8</v>
      </c>
      <c r="L37" t="s">
        <v>209</v>
      </c>
    </row>
    <row r="38" spans="1:12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  <c r="I38">
        <v>1</v>
      </c>
      <c r="J38" s="1">
        <f t="shared" si="1"/>
        <v>49.95</v>
      </c>
    </row>
    <row r="39" spans="1:12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  <c r="I39">
        <v>1</v>
      </c>
      <c r="J39" s="1">
        <f t="shared" si="1"/>
        <v>24.95</v>
      </c>
    </row>
    <row r="40" spans="1:12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  <c r="I40">
        <v>1</v>
      </c>
      <c r="J40" s="1">
        <f t="shared" si="1"/>
        <v>9.9499999999999993</v>
      </c>
    </row>
    <row r="41" spans="1:12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  <c r="I41">
        <v>4</v>
      </c>
      <c r="J41" s="1">
        <f t="shared" si="1"/>
        <v>23.8</v>
      </c>
    </row>
    <row r="42" spans="1:12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  <c r="I42">
        <v>0</v>
      </c>
      <c r="J42" s="1">
        <f t="shared" si="1"/>
        <v>0</v>
      </c>
    </row>
    <row r="43" spans="1:12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  <c r="I43">
        <v>2</v>
      </c>
      <c r="J43" s="1">
        <f t="shared" si="1"/>
        <v>19.899999999999999</v>
      </c>
    </row>
    <row r="44" spans="1:12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  <c r="I44">
        <v>4</v>
      </c>
      <c r="J44" s="1">
        <f t="shared" si="1"/>
        <v>47.8</v>
      </c>
    </row>
    <row r="45" spans="1:12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  <c r="I45">
        <v>2</v>
      </c>
      <c r="J45" s="1">
        <f t="shared" si="1"/>
        <v>33.9</v>
      </c>
    </row>
    <row r="46" spans="1:12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  <c r="I46">
        <v>2</v>
      </c>
      <c r="J46" s="1">
        <f t="shared" si="1"/>
        <v>55.9</v>
      </c>
    </row>
    <row r="47" spans="1:12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  <c r="I47">
        <v>4</v>
      </c>
      <c r="J47" s="1">
        <f t="shared" si="1"/>
        <v>71.8</v>
      </c>
    </row>
    <row r="48" spans="1:12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  <c r="I48">
        <v>3</v>
      </c>
      <c r="J48" s="1">
        <f t="shared" si="1"/>
        <v>41.849999999999994</v>
      </c>
    </row>
    <row r="49" spans="1:12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  <c r="I49">
        <v>3</v>
      </c>
      <c r="J49" s="1">
        <f t="shared" si="1"/>
        <v>32.849999999999994</v>
      </c>
    </row>
    <row r="50" spans="1:12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  <c r="I50">
        <v>2</v>
      </c>
      <c r="J50" s="1">
        <f t="shared" si="1"/>
        <v>25.9</v>
      </c>
    </row>
    <row r="51" spans="1:12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  <c r="I51">
        <v>1</v>
      </c>
      <c r="J51" s="1">
        <f t="shared" si="1"/>
        <v>5.95</v>
      </c>
    </row>
    <row r="52" spans="1:12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  <c r="I52">
        <v>0</v>
      </c>
      <c r="J52" s="1">
        <f t="shared" si="1"/>
        <v>0</v>
      </c>
      <c r="K52" t="s">
        <v>211</v>
      </c>
      <c r="L52" t="s">
        <v>210</v>
      </c>
    </row>
    <row r="53" spans="1:12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  <c r="I53">
        <v>0</v>
      </c>
      <c r="J53" s="1">
        <f t="shared" si="1"/>
        <v>0</v>
      </c>
    </row>
    <row r="54" spans="1:12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  <c r="I54">
        <v>1</v>
      </c>
      <c r="J54" s="1">
        <f t="shared" si="1"/>
        <v>15.95</v>
      </c>
    </row>
    <row r="55" spans="1:12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  <c r="I55">
        <v>1</v>
      </c>
      <c r="J55" s="1">
        <f t="shared" si="1"/>
        <v>15.95</v>
      </c>
    </row>
    <row r="56" spans="1:12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  <c r="I56">
        <v>4</v>
      </c>
      <c r="J56" s="1">
        <f t="shared" si="1"/>
        <v>63.8</v>
      </c>
      <c r="L56" t="s">
        <v>212</v>
      </c>
    </row>
    <row r="57" spans="1:12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  <c r="I57">
        <v>4</v>
      </c>
      <c r="J57" s="1">
        <f t="shared" si="1"/>
        <v>27.8</v>
      </c>
    </row>
    <row r="58" spans="1:12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  <c r="I58">
        <v>0</v>
      </c>
      <c r="J58" s="1">
        <f t="shared" si="1"/>
        <v>0</v>
      </c>
    </row>
    <row r="59" spans="1:12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  <c r="I59">
        <v>2</v>
      </c>
      <c r="J59" s="1">
        <f t="shared" si="1"/>
        <v>7.9</v>
      </c>
    </row>
    <row r="60" spans="1:12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  <c r="I60">
        <v>0</v>
      </c>
      <c r="J60" s="1">
        <f t="shared" si="1"/>
        <v>0</v>
      </c>
    </row>
    <row r="61" spans="1:12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0</v>
      </c>
      <c r="J61" s="1">
        <f t="shared" si="1"/>
        <v>0</v>
      </c>
    </row>
    <row r="62" spans="1:12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0</v>
      </c>
      <c r="J62" s="1">
        <f t="shared" si="1"/>
        <v>0</v>
      </c>
    </row>
    <row r="63" spans="1:12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0</v>
      </c>
      <c r="J63" s="1">
        <f t="shared" si="1"/>
        <v>0</v>
      </c>
    </row>
    <row r="64" spans="1:12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  <c r="I64">
        <v>0</v>
      </c>
      <c r="J64" s="1">
        <f t="shared" si="1"/>
        <v>0</v>
      </c>
    </row>
    <row r="65" spans="1:12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  <c r="I65">
        <v>1</v>
      </c>
      <c r="J65" s="1">
        <f t="shared" si="1"/>
        <v>3.95</v>
      </c>
    </row>
    <row r="66" spans="1:12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  <c r="I66">
        <v>1</v>
      </c>
      <c r="J66" s="1">
        <f t="shared" si="1"/>
        <v>4.95</v>
      </c>
    </row>
    <row r="67" spans="1:12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  <c r="I67">
        <v>0</v>
      </c>
      <c r="J67" s="1">
        <f t="shared" si="1"/>
        <v>0</v>
      </c>
    </row>
    <row r="68" spans="1:12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  <c r="I68">
        <v>0</v>
      </c>
      <c r="J68" s="1">
        <f t="shared" si="1"/>
        <v>0</v>
      </c>
    </row>
    <row r="69" spans="1:12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  <c r="I69">
        <v>5</v>
      </c>
      <c r="J69" s="1">
        <f t="shared" si="1"/>
        <v>34.75</v>
      </c>
    </row>
    <row r="70" spans="1:12">
      <c r="B70" t="s">
        <v>146</v>
      </c>
      <c r="C70" s="3" t="s">
        <v>151</v>
      </c>
      <c r="F70" t="s">
        <v>22</v>
      </c>
      <c r="I70">
        <v>0</v>
      </c>
      <c r="J70" s="1">
        <f t="shared" si="1"/>
        <v>0</v>
      </c>
    </row>
    <row r="71" spans="1:12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  <c r="I71">
        <v>0</v>
      </c>
      <c r="J71" s="1">
        <f t="shared" si="1"/>
        <v>0</v>
      </c>
    </row>
    <row r="72" spans="1:12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  <c r="I72">
        <v>6</v>
      </c>
      <c r="J72" s="1">
        <f t="shared" si="1"/>
        <v>29.700000000000003</v>
      </c>
    </row>
    <row r="73" spans="1:12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  <c r="I73">
        <v>0</v>
      </c>
      <c r="J73" s="1">
        <f t="shared" si="1"/>
        <v>0</v>
      </c>
      <c r="L73" t="s">
        <v>213</v>
      </c>
    </row>
    <row r="74" spans="1:12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  <c r="I74">
        <v>0</v>
      </c>
      <c r="J74" s="1">
        <f t="shared" si="1"/>
        <v>0</v>
      </c>
    </row>
    <row r="75" spans="1:12">
      <c r="I75">
        <v>1</v>
      </c>
      <c r="J75" s="1">
        <f t="shared" si="1"/>
        <v>0</v>
      </c>
    </row>
    <row r="76" spans="1:12">
      <c r="I76">
        <v>1</v>
      </c>
      <c r="J76" s="1">
        <f t="shared" si="1"/>
        <v>0</v>
      </c>
    </row>
    <row r="77" spans="1:12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  <c r="I77">
        <v>0</v>
      </c>
      <c r="J77" s="1">
        <f t="shared" si="1"/>
        <v>0</v>
      </c>
    </row>
    <row r="78" spans="1:12">
      <c r="I78">
        <v>0</v>
      </c>
      <c r="J78" s="1">
        <f t="shared" si="1"/>
        <v>0</v>
      </c>
    </row>
    <row r="79" spans="1:12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  <c r="I79">
        <v>8</v>
      </c>
      <c r="J79" s="1">
        <f t="shared" si="1"/>
        <v>40</v>
      </c>
    </row>
    <row r="80" spans="1:12">
      <c r="A80" t="s">
        <v>214</v>
      </c>
      <c r="B80" t="s">
        <v>215</v>
      </c>
      <c r="F80" t="s">
        <v>22</v>
      </c>
      <c r="G80" s="1">
        <v>29.95</v>
      </c>
      <c r="H80">
        <v>1</v>
      </c>
      <c r="I80">
        <v>1</v>
      </c>
      <c r="J80" s="1">
        <f t="shared" si="1"/>
        <v>29.95</v>
      </c>
    </row>
    <row r="81" spans="1:10">
      <c r="A81" t="s">
        <v>216</v>
      </c>
      <c r="B81" t="s">
        <v>217</v>
      </c>
      <c r="C81" s="3" t="s">
        <v>218</v>
      </c>
      <c r="F81" t="s">
        <v>22</v>
      </c>
      <c r="G81" s="1">
        <v>34.950000000000003</v>
      </c>
      <c r="H81">
        <v>1</v>
      </c>
      <c r="I81">
        <v>1</v>
      </c>
      <c r="J81" s="1">
        <f t="shared" si="1"/>
        <v>34.950000000000003</v>
      </c>
    </row>
    <row r="82" spans="1:10">
      <c r="A82" t="s">
        <v>219</v>
      </c>
      <c r="B82" t="s">
        <v>220</v>
      </c>
      <c r="C82" s="3" t="s">
        <v>221</v>
      </c>
      <c r="D82" t="s">
        <v>222</v>
      </c>
      <c r="F82" t="s">
        <v>22</v>
      </c>
      <c r="G82" s="1">
        <v>29.95</v>
      </c>
      <c r="H82">
        <v>2</v>
      </c>
      <c r="I82">
        <v>2</v>
      </c>
      <c r="J82" s="1">
        <f t="shared" si="1"/>
        <v>59.9</v>
      </c>
    </row>
    <row r="83" spans="1:10">
      <c r="A83" t="s">
        <v>223</v>
      </c>
      <c r="B83" t="s">
        <v>224</v>
      </c>
      <c r="C83" s="3" t="s">
        <v>221</v>
      </c>
      <c r="D83">
        <v>24</v>
      </c>
      <c r="F83" t="s">
        <v>22</v>
      </c>
      <c r="G83" s="1">
        <v>22.95</v>
      </c>
      <c r="H83">
        <v>2</v>
      </c>
      <c r="I83">
        <v>2</v>
      </c>
      <c r="J83" s="1">
        <f t="shared" si="1"/>
        <v>45.9</v>
      </c>
    </row>
    <row r="84" spans="1:10">
      <c r="A84" t="s">
        <v>225</v>
      </c>
      <c r="B84" t="s">
        <v>226</v>
      </c>
      <c r="C84" s="3" t="s">
        <v>221</v>
      </c>
      <c r="D84">
        <v>16</v>
      </c>
      <c r="F84" t="s">
        <v>22</v>
      </c>
      <c r="G84" s="1">
        <v>16.95</v>
      </c>
      <c r="H84">
        <v>2</v>
      </c>
      <c r="I84">
        <v>2</v>
      </c>
      <c r="J84" s="1">
        <f t="shared" si="1"/>
        <v>33.9</v>
      </c>
    </row>
    <row r="85" spans="1:10">
      <c r="J85" s="1">
        <f>SUM(J28:J84)</f>
        <v>1013.5000000000001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N79"/>
  <sheetViews>
    <sheetView zoomScale="87" zoomScaleNormal="87" workbookViewId="0">
      <pane ySplit="495" topLeftCell="A45" activePane="bottomLeft"/>
      <selection activeCell="C1" sqref="C1:C1048576"/>
      <selection pane="bottomLeft" activeCell="C84" sqref="C84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.28515625"/>
    <col min="7" max="7" width="9" style="1" customWidth="1"/>
    <col min="8" max="9" width="8.85546875" customWidth="1"/>
    <col min="10" max="10" width="11.5703125" style="1"/>
    <col min="11" max="1026" width="11.5703125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4</v>
      </c>
      <c r="J2" s="1">
        <f>G2*I2</f>
        <v>71.8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1</v>
      </c>
      <c r="J5" s="1">
        <f t="shared" si="0"/>
        <v>9.9499999999999993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1</v>
      </c>
      <c r="J6" s="1">
        <f t="shared" si="0"/>
        <v>9.9499999999999993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2</v>
      </c>
      <c r="J7" s="1">
        <f t="shared" si="0"/>
        <v>5.9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1</v>
      </c>
      <c r="J8" s="1">
        <f t="shared" si="0"/>
        <v>8.9499999999999993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4</v>
      </c>
      <c r="J9" s="1">
        <f t="shared" si="0"/>
        <v>99.8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4</v>
      </c>
      <c r="J10" s="1">
        <f t="shared" si="0"/>
        <v>27.8</v>
      </c>
    </row>
    <row r="11" spans="1:14">
      <c r="A11" t="s">
        <v>33</v>
      </c>
      <c r="C11" s="3" t="s">
        <v>34</v>
      </c>
      <c r="D11" t="s">
        <v>35</v>
      </c>
      <c r="F11" t="s">
        <v>22</v>
      </c>
      <c r="G11" s="1">
        <v>15.95</v>
      </c>
      <c r="H11">
        <v>6</v>
      </c>
      <c r="I11">
        <v>1</v>
      </c>
      <c r="J11" s="1">
        <f t="shared" si="0"/>
        <v>15.95</v>
      </c>
    </row>
    <row r="12" spans="1:14">
      <c r="A12" t="s">
        <v>36</v>
      </c>
      <c r="C12" s="3" t="s">
        <v>34</v>
      </c>
      <c r="D12" t="s">
        <v>37</v>
      </c>
      <c r="F12" t="s">
        <v>22</v>
      </c>
      <c r="G12" s="1">
        <v>15.95</v>
      </c>
      <c r="H12">
        <v>3</v>
      </c>
      <c r="I12">
        <v>2</v>
      </c>
      <c r="J12" s="1">
        <f t="shared" si="0"/>
        <v>31.9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2</v>
      </c>
      <c r="J13" s="1">
        <f t="shared" si="0"/>
        <v>11.9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2</v>
      </c>
      <c r="J15" s="1">
        <f t="shared" si="0"/>
        <v>99.9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15</v>
      </c>
      <c r="J16" s="1">
        <f t="shared" si="0"/>
        <v>14.25</v>
      </c>
    </row>
    <row r="17" spans="1:10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1</v>
      </c>
      <c r="J17" s="1">
        <f t="shared" si="0"/>
        <v>16.95</v>
      </c>
    </row>
    <row r="18" spans="1:10">
      <c r="C18" s="3" t="s">
        <v>53</v>
      </c>
      <c r="F18" t="s">
        <v>22</v>
      </c>
      <c r="J18" s="1">
        <f t="shared" si="0"/>
        <v>0</v>
      </c>
    </row>
    <row r="19" spans="1:10">
      <c r="C19" s="3" t="s">
        <v>54</v>
      </c>
      <c r="F19" t="s">
        <v>22</v>
      </c>
      <c r="J19" s="1">
        <f t="shared" si="0"/>
        <v>0</v>
      </c>
    </row>
    <row r="20" spans="1:10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4</v>
      </c>
      <c r="J20" s="1">
        <f t="shared" si="0"/>
        <v>79.8</v>
      </c>
    </row>
    <row r="21" spans="1:10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6</v>
      </c>
      <c r="J21" s="1">
        <f t="shared" si="0"/>
        <v>95.699999999999989</v>
      </c>
    </row>
    <row r="22" spans="1:10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5</v>
      </c>
      <c r="J22" s="1">
        <f t="shared" si="0"/>
        <v>9.75</v>
      </c>
    </row>
    <row r="23" spans="1:10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</row>
    <row r="24" spans="1:10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1</v>
      </c>
      <c r="J24" s="1">
        <f t="shared" si="0"/>
        <v>12.77</v>
      </c>
    </row>
    <row r="25" spans="1:10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4</v>
      </c>
      <c r="J25" s="1">
        <f t="shared" si="0"/>
        <v>6.08</v>
      </c>
    </row>
    <row r="28" spans="1:10">
      <c r="A28" t="s">
        <v>154</v>
      </c>
      <c r="B28" t="s">
        <v>73</v>
      </c>
      <c r="F28" t="s">
        <v>22</v>
      </c>
      <c r="G28" s="1">
        <v>89.95</v>
      </c>
      <c r="H28">
        <v>1</v>
      </c>
    </row>
    <row r="29" spans="1:10">
      <c r="B29" t="s">
        <v>74</v>
      </c>
    </row>
    <row r="30" spans="1:10">
      <c r="A30" t="s">
        <v>155</v>
      </c>
      <c r="B30" t="s">
        <v>75</v>
      </c>
      <c r="F30" t="s">
        <v>22</v>
      </c>
      <c r="G30" s="1">
        <v>79.95</v>
      </c>
      <c r="H30">
        <v>1</v>
      </c>
    </row>
    <row r="31" spans="1:10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</row>
    <row r="32" spans="1:10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</row>
    <row r="33" spans="1:9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</row>
    <row r="34" spans="1:9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</row>
    <row r="35" spans="1:9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</row>
    <row r="36" spans="1:9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</row>
    <row r="37" spans="1:9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</row>
    <row r="38" spans="1:9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</row>
    <row r="39" spans="1:9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</row>
    <row r="40" spans="1:9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</row>
    <row r="41" spans="1:9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</row>
    <row r="42" spans="1:9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</row>
    <row r="43" spans="1:9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</row>
    <row r="44" spans="1:9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</row>
    <row r="45" spans="1:9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</row>
    <row r="46" spans="1:9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</row>
    <row r="47" spans="1:9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</row>
    <row r="48" spans="1:9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</row>
    <row r="49" spans="1:9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</row>
    <row r="50" spans="1:9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</row>
    <row r="51" spans="1:9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</row>
    <row r="52" spans="1:9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</row>
    <row r="53" spans="1:9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</row>
    <row r="54" spans="1:9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</row>
    <row r="55" spans="1:9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</row>
    <row r="56" spans="1:9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</row>
    <row r="57" spans="1:9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</row>
    <row r="58" spans="1:9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</row>
    <row r="59" spans="1:9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</row>
    <row r="60" spans="1:9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</row>
    <row r="61" spans="1:9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1</v>
      </c>
    </row>
    <row r="62" spans="1:9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1</v>
      </c>
    </row>
    <row r="63" spans="1:9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1</v>
      </c>
    </row>
    <row r="64" spans="1:9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</row>
    <row r="65" spans="1:8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</row>
    <row r="66" spans="1:8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</row>
    <row r="67" spans="1:8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</row>
    <row r="68" spans="1:8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</row>
    <row r="69" spans="1:8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</row>
    <row r="70" spans="1:8">
      <c r="B70" t="s">
        <v>146</v>
      </c>
      <c r="C70" s="3" t="s">
        <v>151</v>
      </c>
      <c r="F70" t="s">
        <v>22</v>
      </c>
    </row>
    <row r="71" spans="1:8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</row>
    <row r="72" spans="1:8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</row>
    <row r="73" spans="1:8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</row>
    <row r="74" spans="1:8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</row>
    <row r="77" spans="1:8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</row>
    <row r="79" spans="1:8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 McMillan</cp:lastModifiedBy>
  <cp:revision>4</cp:revision>
  <dcterms:created xsi:type="dcterms:W3CDTF">2015-08-27T18:44:15Z</dcterms:created>
  <dcterms:modified xsi:type="dcterms:W3CDTF">2015-09-04T05:01:47Z</dcterms:modified>
  <dc:language>en-US</dc:language>
</cp:coreProperties>
</file>