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0" windowWidth="16380" windowHeight="8190"/>
  </bookViews>
  <sheets>
    <sheet name="order (3)" sheetId="4" r:id="rId1"/>
    <sheet name="order" sheetId="2" r:id="rId2"/>
    <sheet name="order (2)" sheetId="3" r:id="rId3"/>
    <sheet name="Sheet1" sheetId="1" r:id="rId4"/>
  </sheets>
  <calcPr calcId="125725"/>
</workbook>
</file>

<file path=xl/calcChain.xml><?xml version="1.0" encoding="utf-8"?>
<calcChain xmlns="http://schemas.openxmlformats.org/spreadsheetml/2006/main">
  <c r="K70" i="4"/>
  <c r="K93"/>
  <c r="K94"/>
  <c r="K105"/>
  <c r="K104"/>
  <c r="K103"/>
  <c r="K102"/>
  <c r="K99"/>
  <c r="K98"/>
  <c r="K97"/>
  <c r="K90"/>
  <c r="K89"/>
  <c r="K88"/>
  <c r="K84"/>
  <c r="K83"/>
  <c r="K82"/>
  <c r="K81"/>
  <c r="K80"/>
  <c r="K79"/>
  <c r="K78"/>
  <c r="K74"/>
  <c r="K73"/>
  <c r="K66"/>
  <c r="K65"/>
  <c r="K64"/>
  <c r="K61"/>
  <c r="K60"/>
  <c r="K59"/>
  <c r="K56"/>
  <c r="K55"/>
  <c r="K54"/>
  <c r="K53"/>
  <c r="K52"/>
  <c r="K51"/>
  <c r="K50"/>
  <c r="K49"/>
  <c r="K48"/>
  <c r="K47"/>
  <c r="K46"/>
  <c r="K43"/>
  <c r="K42"/>
  <c r="K41"/>
  <c r="K40"/>
  <c r="K39"/>
  <c r="K38"/>
  <c r="K35"/>
  <c r="K34"/>
  <c r="K33"/>
  <c r="K32"/>
  <c r="K29"/>
  <c r="K28"/>
  <c r="K27"/>
  <c r="K26"/>
  <c r="K25"/>
  <c r="K24"/>
  <c r="K23"/>
  <c r="K20"/>
  <c r="K17"/>
  <c r="K16"/>
  <c r="K13"/>
  <c r="K12"/>
  <c r="K11"/>
  <c r="K10"/>
  <c r="K7"/>
  <c r="K6"/>
  <c r="K5"/>
  <c r="K4"/>
  <c r="K3"/>
  <c r="J85" i="3"/>
  <c r="K26" i="2"/>
  <c r="K61"/>
  <c r="K13"/>
  <c r="K35"/>
  <c r="K34"/>
  <c r="K33"/>
  <c r="J84" i="3"/>
  <c r="J83"/>
  <c r="J82"/>
  <c r="J81"/>
  <c r="J80"/>
  <c r="J79"/>
  <c r="J78"/>
  <c r="J77"/>
  <c r="J76"/>
  <c r="J75"/>
  <c r="J74"/>
  <c r="J73"/>
  <c r="J72"/>
  <c r="J71"/>
  <c r="J70"/>
  <c r="J69"/>
  <c r="J68"/>
  <c r="J67"/>
  <c r="J66"/>
  <c r="J65"/>
  <c r="J64"/>
  <c r="J63"/>
  <c r="J62"/>
  <c r="J61"/>
  <c r="J60"/>
  <c r="J59"/>
  <c r="J58"/>
  <c r="J57"/>
  <c r="J56"/>
  <c r="J55"/>
  <c r="J54"/>
  <c r="J53"/>
  <c r="J52"/>
  <c r="J51"/>
  <c r="J50"/>
  <c r="J49"/>
  <c r="J48"/>
  <c r="J47"/>
  <c r="J46"/>
  <c r="J45"/>
  <c r="J44"/>
  <c r="J43"/>
  <c r="J42"/>
  <c r="J41"/>
  <c r="J40"/>
  <c r="J39"/>
  <c r="J38"/>
  <c r="J37"/>
  <c r="J36"/>
  <c r="J35"/>
  <c r="J34"/>
  <c r="J33"/>
  <c r="J32"/>
  <c r="J31"/>
  <c r="J30"/>
  <c r="J29"/>
  <c r="J28"/>
  <c r="J25"/>
  <c r="J24"/>
  <c r="J23"/>
  <c r="J22"/>
  <c r="J21"/>
  <c r="J20"/>
  <c r="J19"/>
  <c r="J18"/>
  <c r="J17"/>
  <c r="J16"/>
  <c r="J15"/>
  <c r="J14"/>
  <c r="J13"/>
  <c r="J12"/>
  <c r="J11"/>
  <c r="J10"/>
  <c r="J9"/>
  <c r="J8"/>
  <c r="J7"/>
  <c r="J6"/>
  <c r="J5"/>
  <c r="N4"/>
  <c r="J4"/>
  <c r="N2"/>
  <c r="L2"/>
  <c r="J2"/>
  <c r="K43" i="2"/>
  <c r="K42"/>
  <c r="K65"/>
  <c r="K66"/>
  <c r="K38"/>
  <c r="K54"/>
  <c r="K73"/>
  <c r="K56"/>
  <c r="K87"/>
  <c r="K40"/>
  <c r="K72"/>
  <c r="K86"/>
  <c r="K88"/>
  <c r="K60"/>
  <c r="K10"/>
  <c r="K11"/>
  <c r="K7"/>
  <c r="K6"/>
  <c r="K5"/>
  <c r="K4"/>
  <c r="K3"/>
  <c r="K16"/>
  <c r="K17"/>
  <c r="K20"/>
  <c r="K48"/>
  <c r="K47"/>
  <c r="K39"/>
  <c r="K50"/>
  <c r="K41"/>
  <c r="K102"/>
  <c r="K27"/>
  <c r="K79"/>
  <c r="K80"/>
  <c r="K81"/>
  <c r="K28"/>
  <c r="K29"/>
  <c r="K100"/>
  <c r="K101"/>
  <c r="K82"/>
  <c r="K103"/>
  <c r="K52"/>
  <c r="K51"/>
  <c r="K46"/>
  <c r="K55"/>
  <c r="K64"/>
  <c r="K97"/>
  <c r="K96"/>
  <c r="K95"/>
  <c r="K53"/>
  <c r="K49"/>
  <c r="K92"/>
  <c r="K91"/>
  <c r="K32"/>
  <c r="K24"/>
  <c r="K23"/>
  <c r="K106" s="1"/>
  <c r="K25"/>
  <c r="K59"/>
  <c r="K78"/>
  <c r="K77"/>
  <c r="K76"/>
  <c r="K12"/>
  <c r="J25" i="1"/>
  <c r="J24"/>
  <c r="J23"/>
  <c r="J22"/>
  <c r="J21"/>
  <c r="J20"/>
  <c r="J19"/>
  <c r="J18"/>
  <c r="J17"/>
  <c r="J16"/>
  <c r="J15"/>
  <c r="J14"/>
  <c r="J13"/>
  <c r="J12"/>
  <c r="J11"/>
  <c r="J10"/>
  <c r="J9"/>
  <c r="J8"/>
  <c r="J7"/>
  <c r="J6"/>
  <c r="J5"/>
  <c r="N4"/>
  <c r="J4"/>
  <c r="N2"/>
  <c r="L2"/>
  <c r="J2"/>
  <c r="K108" i="4" l="1"/>
</calcChain>
</file>

<file path=xl/comments1.xml><?xml version="1.0" encoding="utf-8"?>
<comments xmlns="http://schemas.openxmlformats.org/spreadsheetml/2006/main">
  <authors>
    <author>Mike McMillan</author>
  </authors>
  <commentList>
    <comment ref="J56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2.xml><?xml version="1.0" encoding="utf-8"?>
<comments xmlns="http://schemas.openxmlformats.org/spreadsheetml/2006/main">
  <authors>
    <author>Mike McMillan</author>
  </authors>
  <commentList>
    <comment ref="J56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3.xml><?xml version="1.0" encoding="utf-8"?>
<comments xmlns="http://schemas.openxmlformats.org/spreadsheetml/2006/main">
  <authors>
    <author>Mike McMillan</author>
  </authors>
  <commentList>
    <comment ref="I34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4.xml><?xml version="1.0" encoding="utf-8"?>
<comments xmlns="http://schemas.openxmlformats.org/spreadsheetml/2006/main">
  <authors>
    <author>Mike McMillan</author>
  </authors>
  <commentList>
    <comment ref="I34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sharedStrings.xml><?xml version="1.0" encoding="utf-8"?>
<sst xmlns="http://schemas.openxmlformats.org/spreadsheetml/2006/main" count="1195" uniqueCount="259">
  <si>
    <t>part Number</t>
  </si>
  <si>
    <t>Description</t>
  </si>
  <si>
    <t>size</t>
  </si>
  <si>
    <t>Color</t>
  </si>
  <si>
    <t>Vendor</t>
  </si>
  <si>
    <t>Price</t>
  </si>
  <si>
    <t>units/pack</t>
  </si>
  <si>
    <t>Quantity</t>
  </si>
  <si>
    <t>Total</t>
  </si>
  <si>
    <t>AZ39069</t>
  </si>
  <si>
    <t>C-channel</t>
  </si>
  <si>
    <t>416mm</t>
  </si>
  <si>
    <t>Pitsco(Tetrix)</t>
  </si>
  <si>
    <t>AZ39281</t>
  </si>
  <si>
    <t>Inside Corner Bracket</t>
  </si>
  <si>
    <t>AZ39098</t>
  </si>
  <si>
    <t>Small screw</t>
  </si>
  <si>
    <t>Small</t>
  </si>
  <si>
    <t>pitsco(Tetrix)</t>
  </si>
  <si>
    <t>AZ39097</t>
  </si>
  <si>
    <t>Medium screw</t>
  </si>
  <si>
    <t>Medium</t>
  </si>
  <si>
    <t>Pitsco(tetrix)</t>
  </si>
  <si>
    <t>AZ39094</t>
  </si>
  <si>
    <t>Kep Nuts</t>
  </si>
  <si>
    <t>AZ39111</t>
  </si>
  <si>
    <t>Flat screws</t>
  </si>
  <si>
    <t>3 8</t>
  </si>
  <si>
    <t>AZ39197</t>
  </si>
  <si>
    <t>180 servo</t>
  </si>
  <si>
    <t>AZ39172</t>
  </si>
  <si>
    <t>Axle Hub</t>
  </si>
  <si>
    <t>Axle</t>
  </si>
  <si>
    <t>AZ39088</t>
  </si>
  <si>
    <t>Axle</t>
  </si>
  <si>
    <t>100mm</t>
  </si>
  <si>
    <t>AZ35871</t>
  </si>
  <si>
    <t>250mm</t>
  </si>
  <si>
    <t>AZ39079</t>
  </si>
  <si>
    <t>Motor Shaft Hubs</t>
  </si>
  <si>
    <t>Motor</t>
  </si>
  <si>
    <t>AZ39173</t>
  </si>
  <si>
    <t>Chain with Links</t>
  </si>
  <si>
    <t>5 feet</t>
  </si>
  <si>
    <t>AZ39057</t>
  </si>
  <si>
    <t>12volt nimh battery pack</t>
  </si>
  <si>
    <t>12 volt</t>
  </si>
  <si>
    <t>AZ39104</t>
  </si>
  <si>
    <t>Hex Keys</t>
  </si>
  <si>
    <t>Each size</t>
  </si>
  <si>
    <t>4 each size</t>
  </si>
  <si>
    <t>AZ39217</t>
  </si>
  <si>
    <t>Chain Breaker Tool</t>
  </si>
  <si>
    <t>motor controller</t>
  </si>
  <si>
    <t>servo controller</t>
  </si>
  <si>
    <t>AZ39055</t>
  </si>
  <si>
    <t>Wheel</t>
  </si>
  <si>
    <t>4”</t>
  </si>
  <si>
    <t>AZ39089</t>
  </si>
  <si>
    <t>Motor Mount</t>
  </si>
  <si>
    <t>AZ31903</t>
  </si>
  <si>
    <t>Motor power cable</t>
  </si>
  <si>
    <t>8800k43</t>
  </si>
  <si>
    <t>Kevlar Thread</t>
  </si>
  <si>
    <t>McMaster carr</t>
  </si>
  <si>
    <t>66 yards</t>
  </si>
  <si>
    <t>87635k63</t>
  </si>
  <si>
    <t>polyester thread</t>
  </si>
  <si>
    <t>120 yards</t>
  </si>
  <si>
    <t>3434T33</t>
  </si>
  <si>
    <t>tread pulleys</t>
  </si>
  <si>
    <t>3 64</t>
  </si>
  <si>
    <t>MCMaster carr</t>
  </si>
  <si>
    <t>Core_motor Controller</t>
  </si>
  <si>
    <t>Core_Power_Distribution_Module</t>
  </si>
  <si>
    <t>Core_Servo_Controller</t>
  </si>
  <si>
    <t>Part Name</t>
  </si>
  <si>
    <t>TETRIX_731901_120_2013</t>
  </si>
  <si>
    <t>120-Tooth Gear</t>
  </si>
  <si>
    <t>TETRIX_731903_2012</t>
  </si>
  <si>
    <t>Motor Power Wire</t>
  </si>
  <si>
    <t>TETRIX_736466_2012</t>
  </si>
  <si>
    <t>4” Dual Omni Wheel Assembly</t>
  </si>
  <si>
    <t>TETRIX_738000_2012</t>
  </si>
  <si>
    <t>Motor Encoder</t>
  </si>
  <si>
    <t>TETRIX_738009_BATPACK_BRKT_2013</t>
  </si>
  <si>
    <t>Battery Clip</t>
  </si>
  <si>
    <t>TETRIX_739028_2012</t>
  </si>
  <si>
    <t>40-Tooth Gear</t>
  </si>
  <si>
    <t>TETRIX_739055_2012</t>
  </si>
  <si>
    <t>4" Wheel</t>
  </si>
  <si>
    <t>TETRIX_739057_2012</t>
  </si>
  <si>
    <t>Battery Pack</t>
  </si>
  <si>
    <t>TETRIX_739060_2012</t>
  </si>
  <si>
    <t>Single Standard Scale Servo Bracket</t>
  </si>
  <si>
    <t>TETRIX_739061_2012</t>
  </si>
  <si>
    <t>Flat Bracket</t>
  </si>
  <si>
    <t>TETRIX_739062_2012</t>
  </si>
  <si>
    <t>L Bracket</t>
  </si>
  <si>
    <t>TETRIX_739065_2012</t>
  </si>
  <si>
    <t>32mm Channel</t>
  </si>
  <si>
    <t>TETRIX_739066_2012</t>
  </si>
  <si>
    <t>96mm Channel</t>
  </si>
  <si>
    <t>TETRIX_739067_2012</t>
  </si>
  <si>
    <t>160m Channel</t>
  </si>
  <si>
    <t>TETRIX_739068_2012</t>
  </si>
  <si>
    <t>288mm Channel</t>
  </si>
  <si>
    <t>TETRIX_739069_2012</t>
  </si>
  <si>
    <t>416mm Channel</t>
  </si>
  <si>
    <t>TETRIX_739071_2012</t>
  </si>
  <si>
    <t>288mm Angle</t>
  </si>
  <si>
    <t>TETRIX_739072_2012</t>
  </si>
  <si>
    <t>144mm Angle</t>
  </si>
  <si>
    <t>TETRIX_739073_2012</t>
  </si>
  <si>
    <t>Flat Building Plage</t>
  </si>
  <si>
    <t>TETRIX_739079_2012</t>
  </si>
  <si>
    <t>Motor Hub</t>
  </si>
  <si>
    <t>TETRIX_739083_2012</t>
  </si>
  <si>
    <t>TETRIX DC Motor</t>
  </si>
  <si>
    <t>TETRIX_739086_2012</t>
  </si>
  <si>
    <t>80-Tooth Gear</t>
  </si>
  <si>
    <t>TETRIX_739088_2013</t>
  </si>
  <si>
    <t>TETRIX_739089_2012</t>
  </si>
  <si>
    <t>DC Motor Mount</t>
  </si>
  <si>
    <t>TETRIX_739090_2012</t>
  </si>
  <si>
    <t>Gear Hub Spacer</t>
  </si>
  <si>
    <t>TETRIX_739091_2013</t>
  </si>
  <si>
    <t>Bronze Bushing</t>
  </si>
  <si>
    <t>TETRIX_739092_ 2012</t>
  </si>
  <si>
    <t>Axel Collar</t>
  </si>
  <si>
    <t>TETRIX_739094_2013</t>
  </si>
  <si>
    <t>Kep Nut</t>
  </si>
  <si>
    <t>TETRIX_739097_2013</t>
  </si>
  <si>
    <t>1/2" Socket Head Cap Screw</t>
  </si>
  <si>
    <t>TETRIX_739098_2012</t>
  </si>
  <si>
    <t>5/16" Socket Head Cap Screw</t>
  </si>
  <si>
    <t>TETRIX_739100_2012</t>
  </si>
  <si>
    <t>1/8" Axel Spacer</t>
  </si>
  <si>
    <t>TETRIX_739101_2012</t>
  </si>
  <si>
    <t>3/8" Axel Spacer</t>
  </si>
  <si>
    <t>TETRIX_739102_2012</t>
  </si>
  <si>
    <t>1" Stand-off</t>
  </si>
  <si>
    <t>TETRIX_739107_2013</t>
  </si>
  <si>
    <t>32mm Stand-of</t>
  </si>
  <si>
    <t>TETRIX_739111_2012</t>
  </si>
  <si>
    <t>TETRIX_739120_2012</t>
  </si>
  <si>
    <t>TETRIX_739172_ 2012</t>
  </si>
  <si>
    <t>TETRIX_739270_2013</t>
  </si>
  <si>
    <t>Button Head Cap Screw</t>
  </si>
  <si>
    <t>Hard Point Connector</t>
  </si>
  <si>
    <t>Axel Hub</t>
  </si>
  <si>
    <t>Motor Mount Screw</t>
  </si>
  <si>
    <t>Standard-Scale HS-485HB Servo Motor</t>
  </si>
  <si>
    <t>Inside C Connector</t>
  </si>
  <si>
    <t>AZ34303</t>
  </si>
  <si>
    <t>AZ34302</t>
  </si>
  <si>
    <t>AZ36465</t>
  </si>
  <si>
    <t>AZ39085</t>
  </si>
  <si>
    <t>AZ36466</t>
  </si>
  <si>
    <t>AZ38009</t>
  </si>
  <si>
    <t>AZ39028</t>
  </si>
  <si>
    <t>TETRIX</t>
  </si>
  <si>
    <t>Battery Pack Charger</t>
  </si>
  <si>
    <t>az39830</t>
  </si>
  <si>
    <t>Gear Hub Spacers</t>
  </si>
  <si>
    <t>AZ39090</t>
  </si>
  <si>
    <t>AZ39060</t>
  </si>
  <si>
    <t>AZ39061</t>
  </si>
  <si>
    <t>AZ39062</t>
  </si>
  <si>
    <t>AZ39065</t>
  </si>
  <si>
    <t>AZ39066</t>
  </si>
  <si>
    <t>AZ39067</t>
  </si>
  <si>
    <t>AZ39068</t>
  </si>
  <si>
    <t>AZ39270</t>
  </si>
  <si>
    <t>AZ39071</t>
  </si>
  <si>
    <t>AZ39072</t>
  </si>
  <si>
    <t>AZ39073</t>
  </si>
  <si>
    <t>AZ39530</t>
  </si>
  <si>
    <t>AZ39086</t>
  </si>
  <si>
    <t>100 mm Axle</t>
  </si>
  <si>
    <t xml:space="preserve">250 mm Axle </t>
  </si>
  <si>
    <t>AZ39376</t>
  </si>
  <si>
    <t>AZ39091</t>
  </si>
  <si>
    <t>AZ39092</t>
  </si>
  <si>
    <t>W39098</t>
  </si>
  <si>
    <t>W39097</t>
  </si>
  <si>
    <t>W39100</t>
  </si>
  <si>
    <t>W39101</t>
  </si>
  <si>
    <t>W39102</t>
  </si>
  <si>
    <t>W39107</t>
  </si>
  <si>
    <t>W39111</t>
  </si>
  <si>
    <t>W39120</t>
  </si>
  <si>
    <t>W39172</t>
  </si>
  <si>
    <t xml:space="preserve">MOTOR MOUNT </t>
  </si>
  <si>
    <t>TETRIX_MAXMOTORMOUNT</t>
  </si>
  <si>
    <t>W3989</t>
  </si>
  <si>
    <t>w380000</t>
  </si>
  <si>
    <t>NEVEREST_60_MOTOR</t>
  </si>
  <si>
    <t>AM-3103</t>
  </si>
  <si>
    <t>Motor with encoder</t>
  </si>
  <si>
    <t>Andymark</t>
  </si>
  <si>
    <t>1.46"dia</t>
  </si>
  <si>
    <t>AM-2992</t>
  </si>
  <si>
    <t>19.5"</t>
  </si>
  <si>
    <t>AndyMark</t>
  </si>
  <si>
    <t>hall_affect_encoder_cable</t>
  </si>
  <si>
    <t>encoder cable with 4_pin connector</t>
  </si>
  <si>
    <t>have 3- don't know how many work.</t>
  </si>
  <si>
    <t>Have 1 new one</t>
  </si>
  <si>
    <t>Check with Andy Mark</t>
  </si>
  <si>
    <t>Order from andy aMark with encoder.</t>
  </si>
  <si>
    <t>6 DC motors</t>
  </si>
  <si>
    <t>Verify</t>
  </si>
  <si>
    <t>duplicate</t>
  </si>
  <si>
    <t>AZ38007</t>
  </si>
  <si>
    <t>Tetrix Max Vevel Gear &amp; Acetal Bearings</t>
  </si>
  <si>
    <t>AZ39375</t>
  </si>
  <si>
    <t>Tetrix Max Worm Gear Box</t>
  </si>
  <si>
    <t>4:1 worm gear</t>
  </si>
  <si>
    <t>AZ39171</t>
  </si>
  <si>
    <t>Tetrix Max 32-Tooth Sprocket Pack</t>
  </si>
  <si>
    <t>Chain sprockets</t>
  </si>
  <si>
    <t>32 tooth</t>
  </si>
  <si>
    <t>Az39169</t>
  </si>
  <si>
    <t>Tetrix Max 24-Tooth Sprocket Pack</t>
  </si>
  <si>
    <t>Az39165</t>
  </si>
  <si>
    <t>Tetrix Max 16-Tooth Sprocket Pack</t>
  </si>
  <si>
    <t>Brackets</t>
  </si>
  <si>
    <t>Channels</t>
  </si>
  <si>
    <t>Angles</t>
  </si>
  <si>
    <t>Flat Building Plate</t>
  </si>
  <si>
    <t>Plates</t>
  </si>
  <si>
    <t>Wheels</t>
  </si>
  <si>
    <t>Axles/Shafts</t>
  </si>
  <si>
    <t>Screws/Nuts</t>
  </si>
  <si>
    <t>Servo's</t>
  </si>
  <si>
    <t>Chains/Sprockets</t>
  </si>
  <si>
    <t>Batteries</t>
  </si>
  <si>
    <t>Tools</t>
  </si>
  <si>
    <t>Miscellaneous Small Parts</t>
  </si>
  <si>
    <t>Motors</t>
  </si>
  <si>
    <t>Controllers / Power distribution</t>
  </si>
  <si>
    <t>12 Volt - NIMH</t>
  </si>
  <si>
    <t>Gears</t>
  </si>
  <si>
    <t>Wires</t>
  </si>
  <si>
    <t>Coiled wire (McMaster-Carr)</t>
  </si>
  <si>
    <t>Power (14 gauge (black white)</t>
  </si>
  <si>
    <t>thread pulleys</t>
  </si>
  <si>
    <t xml:space="preserve"> (McMaster-Carr)</t>
  </si>
  <si>
    <t>Retracting Cable (300V AC-Light Duty)</t>
  </si>
  <si>
    <t>18 Gauge 2 wire</t>
  </si>
  <si>
    <t>TETRIX MAX Omni Wheel Pack</t>
  </si>
  <si>
    <t>4 inch</t>
  </si>
  <si>
    <t>W36466</t>
  </si>
  <si>
    <t>W39104</t>
  </si>
  <si>
    <t>7/64, 3/32, 1/16, 5/64</t>
  </si>
  <si>
    <t>7088k211</t>
  </si>
  <si>
    <t>2ft, 18ga</t>
  </si>
  <si>
    <t>4"</t>
  </si>
</sst>
</file>

<file path=xl/styles.xml><?xml version="1.0" encoding="utf-8"?>
<styleSheet xmlns="http://schemas.openxmlformats.org/spreadsheetml/2006/main">
  <numFmts count="1">
    <numFmt numFmtId="164" formatCode="[$$-409]#,##0.00;[Red]\-[$$-409]#,##0.00"/>
  </numFmts>
  <fonts count="3"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164" fontId="0" fillId="0" borderId="0" xfId="0" applyNumberFormat="1" applyFont="1"/>
    <xf numFmtId="0" fontId="0" fillId="0" borderId="0" xfId="0" applyFont="1"/>
    <xf numFmtId="49" fontId="0" fillId="0" borderId="0" xfId="0" applyNumberFormat="1" applyFont="1" applyAlignment="1">
      <alignment wrapText="1"/>
    </xf>
    <xf numFmtId="0" fontId="0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108"/>
  <sheetViews>
    <sheetView tabSelected="1" topLeftCell="C1" zoomScale="115" zoomScaleNormal="115" workbookViewId="0">
      <pane ySplit="795" topLeftCell="A62" activePane="bottomLeft"/>
      <selection activeCell="D13" sqref="D1:D1048576"/>
      <selection pane="bottomLeft" activeCell="E76" sqref="E76"/>
    </sheetView>
  </sheetViews>
  <sheetFormatPr defaultRowHeight="12.75"/>
  <cols>
    <col min="1" max="1" width="9.140625" style="5" customWidth="1"/>
    <col min="2" max="2" width="16" style="5" customWidth="1"/>
    <col min="3" max="3" width="28.28515625" style="5" customWidth="1"/>
    <col min="4" max="4" width="27.28515625" style="6" customWidth="1"/>
    <col min="5" max="5" width="14.5703125" style="5" customWidth="1"/>
    <col min="6" max="6" width="6" style="5" customWidth="1"/>
    <col min="7" max="7" width="16.140625" style="5" customWidth="1"/>
    <col min="8" max="8" width="11" style="4" customWidth="1"/>
    <col min="9" max="9" width="14.28515625" style="5" customWidth="1"/>
    <col min="10" max="10" width="8.85546875" style="5" customWidth="1"/>
    <col min="11" max="11" width="9.140625" style="4"/>
    <col min="12" max="16384" width="9.140625" style="5"/>
  </cols>
  <sheetData>
    <row r="1" spans="1:11">
      <c r="B1" s="5" t="s">
        <v>0</v>
      </c>
      <c r="C1" s="5" t="s">
        <v>76</v>
      </c>
      <c r="D1" s="6" t="s">
        <v>1</v>
      </c>
      <c r="E1" s="5" t="s">
        <v>2</v>
      </c>
      <c r="F1" s="5" t="s">
        <v>3</v>
      </c>
      <c r="G1" s="5" t="s">
        <v>4</v>
      </c>
      <c r="H1" s="4" t="s">
        <v>5</v>
      </c>
      <c r="I1" s="5" t="s">
        <v>6</v>
      </c>
      <c r="J1" s="5" t="s">
        <v>7</v>
      </c>
      <c r="K1" s="4" t="s">
        <v>8</v>
      </c>
    </row>
    <row r="2" spans="1:11">
      <c r="A2" s="5" t="s">
        <v>228</v>
      </c>
    </row>
    <row r="3" spans="1:11">
      <c r="B3" s="5" t="s">
        <v>9</v>
      </c>
      <c r="C3" s="5" t="s">
        <v>107</v>
      </c>
      <c r="D3" s="6" t="s">
        <v>108</v>
      </c>
      <c r="G3" s="5" t="s">
        <v>22</v>
      </c>
      <c r="H3" s="4">
        <v>17.95</v>
      </c>
      <c r="I3" s="5">
        <v>1</v>
      </c>
      <c r="J3" s="5">
        <v>2</v>
      </c>
      <c r="K3" s="4">
        <f>H3*J3</f>
        <v>35.9</v>
      </c>
    </row>
    <row r="4" spans="1:11">
      <c r="B4" s="5" t="s">
        <v>172</v>
      </c>
      <c r="C4" s="5" t="s">
        <v>105</v>
      </c>
      <c r="D4" s="6" t="s">
        <v>106</v>
      </c>
      <c r="G4" s="5" t="s">
        <v>22</v>
      </c>
      <c r="H4" s="4">
        <v>27.95</v>
      </c>
      <c r="I4" s="5">
        <v>2</v>
      </c>
      <c r="J4" s="5">
        <v>1</v>
      </c>
      <c r="K4" s="4">
        <f>H4*J4</f>
        <v>27.95</v>
      </c>
    </row>
    <row r="5" spans="1:11">
      <c r="B5" s="5" t="s">
        <v>171</v>
      </c>
      <c r="C5" s="5" t="s">
        <v>103</v>
      </c>
      <c r="D5" s="6" t="s">
        <v>104</v>
      </c>
      <c r="G5" s="5" t="s">
        <v>22</v>
      </c>
      <c r="H5" s="4">
        <v>16.95</v>
      </c>
      <c r="I5" s="5">
        <v>2</v>
      </c>
      <c r="J5" s="5">
        <v>1</v>
      </c>
      <c r="K5" s="4">
        <f>H5*J5</f>
        <v>16.95</v>
      </c>
    </row>
    <row r="6" spans="1:11">
      <c r="B6" s="5" t="s">
        <v>170</v>
      </c>
      <c r="C6" s="5" t="s">
        <v>101</v>
      </c>
      <c r="D6" s="6" t="s">
        <v>102</v>
      </c>
      <c r="G6" s="5" t="s">
        <v>22</v>
      </c>
      <c r="H6" s="4">
        <v>11.95</v>
      </c>
      <c r="I6" s="5">
        <v>2</v>
      </c>
      <c r="J6" s="5">
        <v>3</v>
      </c>
      <c r="K6" s="4">
        <f>H6*J6</f>
        <v>35.849999999999994</v>
      </c>
    </row>
    <row r="7" spans="1:11">
      <c r="B7" s="5" t="s">
        <v>169</v>
      </c>
      <c r="C7" s="5" t="s">
        <v>99</v>
      </c>
      <c r="D7" s="6" t="s">
        <v>100</v>
      </c>
      <c r="G7" s="5" t="s">
        <v>22</v>
      </c>
      <c r="H7" s="4">
        <v>9.9499999999999993</v>
      </c>
      <c r="I7" s="5">
        <v>2</v>
      </c>
      <c r="J7" s="5">
        <v>2</v>
      </c>
      <c r="K7" s="4">
        <f>H7*J7</f>
        <v>19.899999999999999</v>
      </c>
    </row>
    <row r="9" spans="1:11">
      <c r="A9" s="5" t="s">
        <v>227</v>
      </c>
    </row>
    <row r="10" spans="1:11">
      <c r="B10" s="5" t="s">
        <v>167</v>
      </c>
      <c r="C10" s="5" t="s">
        <v>95</v>
      </c>
      <c r="D10" s="6" t="s">
        <v>96</v>
      </c>
      <c r="G10" s="5" t="s">
        <v>22</v>
      </c>
      <c r="H10" s="4">
        <v>5.95</v>
      </c>
      <c r="I10" s="5">
        <v>2</v>
      </c>
      <c r="J10" s="5">
        <v>4</v>
      </c>
      <c r="K10" s="4">
        <f>H10*J10</f>
        <v>23.8</v>
      </c>
    </row>
    <row r="11" spans="1:11" hidden="1">
      <c r="B11" s="5" t="s">
        <v>168</v>
      </c>
      <c r="C11" s="5" t="s">
        <v>97</v>
      </c>
      <c r="D11" s="6" t="s">
        <v>98</v>
      </c>
      <c r="G11" s="5" t="s">
        <v>22</v>
      </c>
      <c r="H11" s="4">
        <v>4.95</v>
      </c>
      <c r="I11" s="5">
        <v>2</v>
      </c>
      <c r="J11" s="5">
        <v>0</v>
      </c>
      <c r="K11" s="4">
        <f>H11*J11</f>
        <v>0</v>
      </c>
    </row>
    <row r="12" spans="1:11">
      <c r="B12" s="5" t="s">
        <v>13</v>
      </c>
      <c r="D12" s="6" t="s">
        <v>14</v>
      </c>
      <c r="G12" s="5" t="s">
        <v>12</v>
      </c>
      <c r="H12" s="4">
        <v>4.95</v>
      </c>
      <c r="I12" s="5">
        <v>2</v>
      </c>
      <c r="J12" s="5">
        <v>3</v>
      </c>
      <c r="K12" s="4">
        <f>H12*J12</f>
        <v>14.850000000000001</v>
      </c>
    </row>
    <row r="13" spans="1:11">
      <c r="B13" s="5" t="s">
        <v>173</v>
      </c>
      <c r="C13" s="5" t="s">
        <v>147</v>
      </c>
      <c r="D13" s="6" t="s">
        <v>153</v>
      </c>
      <c r="G13" s="5" t="s">
        <v>22</v>
      </c>
      <c r="H13" s="4">
        <v>4.95</v>
      </c>
      <c r="I13" s="5">
        <v>2</v>
      </c>
      <c r="J13" s="5">
        <v>4</v>
      </c>
      <c r="K13" s="4">
        <f t="shared" ref="K13" si="0">H13*J13</f>
        <v>19.8</v>
      </c>
    </row>
    <row r="15" spans="1:11">
      <c r="A15" s="5" t="s">
        <v>229</v>
      </c>
    </row>
    <row r="16" spans="1:11">
      <c r="B16" s="5" t="s">
        <v>174</v>
      </c>
      <c r="C16" s="5" t="s">
        <v>109</v>
      </c>
      <c r="D16" s="6" t="s">
        <v>110</v>
      </c>
      <c r="G16" s="5" t="s">
        <v>22</v>
      </c>
      <c r="H16" s="4">
        <v>13.95</v>
      </c>
      <c r="I16" s="5">
        <v>2</v>
      </c>
      <c r="J16" s="5">
        <v>2</v>
      </c>
      <c r="K16" s="4">
        <f>H16*J16</f>
        <v>27.9</v>
      </c>
    </row>
    <row r="17" spans="1:12">
      <c r="B17" s="5" t="s">
        <v>175</v>
      </c>
      <c r="C17" s="5" t="s">
        <v>111</v>
      </c>
      <c r="D17" s="6" t="s">
        <v>112</v>
      </c>
      <c r="G17" s="5" t="s">
        <v>22</v>
      </c>
      <c r="H17" s="4">
        <v>10.95</v>
      </c>
      <c r="I17" s="5">
        <v>2</v>
      </c>
      <c r="J17" s="5">
        <v>2</v>
      </c>
      <c r="K17" s="4">
        <f>H17*J17</f>
        <v>21.9</v>
      </c>
    </row>
    <row r="19" spans="1:12">
      <c r="A19" s="5" t="s">
        <v>231</v>
      </c>
    </row>
    <row r="20" spans="1:12">
      <c r="B20" s="5" t="s">
        <v>176</v>
      </c>
      <c r="C20" s="5" t="s">
        <v>113</v>
      </c>
      <c r="D20" s="6" t="s">
        <v>230</v>
      </c>
      <c r="G20" s="5" t="s">
        <v>22</v>
      </c>
      <c r="H20" s="4">
        <v>12.95</v>
      </c>
      <c r="I20" s="5">
        <v>2</v>
      </c>
      <c r="J20" s="5">
        <v>1</v>
      </c>
      <c r="K20" s="4">
        <f>H20*J20</f>
        <v>12.95</v>
      </c>
    </row>
    <row r="22" spans="1:12">
      <c r="A22" s="5" t="s">
        <v>233</v>
      </c>
    </row>
    <row r="23" spans="1:12">
      <c r="B23" s="5" t="s">
        <v>33</v>
      </c>
      <c r="D23" s="6" t="s">
        <v>32</v>
      </c>
      <c r="E23" s="5" t="s">
        <v>35</v>
      </c>
      <c r="G23" s="5" t="s">
        <v>22</v>
      </c>
      <c r="H23" s="4">
        <v>15.95</v>
      </c>
      <c r="I23" s="5">
        <v>6</v>
      </c>
      <c r="J23" s="5">
        <v>1</v>
      </c>
      <c r="K23" s="4">
        <f>H23*J23</f>
        <v>15.95</v>
      </c>
    </row>
    <row r="24" spans="1:12">
      <c r="B24" s="5" t="s">
        <v>36</v>
      </c>
      <c r="D24" s="6" t="s">
        <v>32</v>
      </c>
      <c r="E24" s="5" t="s">
        <v>37</v>
      </c>
      <c r="G24" s="5" t="s">
        <v>22</v>
      </c>
      <c r="H24" s="4">
        <v>15.95</v>
      </c>
      <c r="I24" s="5">
        <v>3</v>
      </c>
      <c r="J24" s="5">
        <v>1</v>
      </c>
      <c r="K24" s="4">
        <f>H24*J24</f>
        <v>15.95</v>
      </c>
    </row>
    <row r="25" spans="1:12" hidden="1">
      <c r="B25" s="5" t="s">
        <v>30</v>
      </c>
      <c r="D25" s="6" t="s">
        <v>31</v>
      </c>
      <c r="E25" s="5" t="s">
        <v>32</v>
      </c>
      <c r="G25" s="5" t="s">
        <v>22</v>
      </c>
      <c r="H25" s="4">
        <v>6.95</v>
      </c>
      <c r="I25" s="5">
        <v>2</v>
      </c>
      <c r="J25" s="5">
        <v>0</v>
      </c>
      <c r="K25" s="4">
        <f>H25*J25</f>
        <v>0</v>
      </c>
    </row>
    <row r="26" spans="1:12" customFormat="1">
      <c r="A26" s="5"/>
      <c r="B26" t="s">
        <v>192</v>
      </c>
      <c r="C26" t="s">
        <v>146</v>
      </c>
      <c r="D26" s="3" t="s">
        <v>150</v>
      </c>
      <c r="G26" t="s">
        <v>22</v>
      </c>
      <c r="H26" s="1">
        <v>6.95</v>
      </c>
      <c r="I26">
        <v>2</v>
      </c>
      <c r="J26">
        <v>4</v>
      </c>
      <c r="K26" s="1">
        <f t="shared" ref="K26" si="1">H26*J26</f>
        <v>27.8</v>
      </c>
      <c r="L26" s="9"/>
    </row>
    <row r="27" spans="1:12">
      <c r="B27" s="5" t="s">
        <v>183</v>
      </c>
      <c r="C27" s="5" t="s">
        <v>128</v>
      </c>
      <c r="D27" s="6" t="s">
        <v>129</v>
      </c>
      <c r="G27" s="5" t="s">
        <v>22</v>
      </c>
      <c r="H27" s="4">
        <v>3.95</v>
      </c>
      <c r="I27" s="5">
        <v>6</v>
      </c>
      <c r="J27" s="5">
        <v>2</v>
      </c>
      <c r="K27" s="4">
        <f>H27*J27</f>
        <v>7.9</v>
      </c>
    </row>
    <row r="28" spans="1:12" hidden="1">
      <c r="B28" s="5" t="s">
        <v>186</v>
      </c>
      <c r="C28" s="5" t="s">
        <v>136</v>
      </c>
      <c r="D28" s="6" t="s">
        <v>137</v>
      </c>
      <c r="G28" s="5" t="s">
        <v>22</v>
      </c>
      <c r="H28" s="4">
        <v>1.95</v>
      </c>
      <c r="I28" s="5">
        <v>12</v>
      </c>
      <c r="J28" s="5">
        <v>0</v>
      </c>
      <c r="K28" s="4">
        <f>H28*J28</f>
        <v>0</v>
      </c>
    </row>
    <row r="29" spans="1:12" hidden="1">
      <c r="B29" s="5" t="s">
        <v>187</v>
      </c>
      <c r="C29" s="5" t="s">
        <v>138</v>
      </c>
      <c r="D29" s="6" t="s">
        <v>139</v>
      </c>
      <c r="G29" s="5" t="s">
        <v>22</v>
      </c>
      <c r="H29" s="4">
        <v>0.95</v>
      </c>
      <c r="I29" s="5">
        <v>6</v>
      </c>
      <c r="J29" s="5">
        <v>0</v>
      </c>
      <c r="K29" s="4">
        <f>H29*J29</f>
        <v>0</v>
      </c>
    </row>
    <row r="31" spans="1:12" ht="14.25" customHeight="1">
      <c r="A31" s="5" t="s">
        <v>236</v>
      </c>
    </row>
    <row r="32" spans="1:12">
      <c r="B32" s="5" t="s">
        <v>41</v>
      </c>
      <c r="D32" s="6" t="s">
        <v>42</v>
      </c>
      <c r="G32" s="5" t="s">
        <v>22</v>
      </c>
      <c r="H32" s="4">
        <v>13.95</v>
      </c>
      <c r="I32" s="5" t="s">
        <v>43</v>
      </c>
      <c r="J32" s="5">
        <v>1</v>
      </c>
      <c r="K32" s="4">
        <f>H32*J32</f>
        <v>13.95</v>
      </c>
    </row>
    <row r="33" spans="1:13">
      <c r="B33" s="5" t="s">
        <v>219</v>
      </c>
      <c r="C33" s="5" t="s">
        <v>220</v>
      </c>
      <c r="D33" s="6" t="s">
        <v>221</v>
      </c>
      <c r="E33" s="5">
        <v>32</v>
      </c>
      <c r="G33" s="5" t="s">
        <v>22</v>
      </c>
      <c r="H33" s="4">
        <v>29.95</v>
      </c>
      <c r="I33" s="5">
        <v>2</v>
      </c>
      <c r="J33" s="5">
        <v>1</v>
      </c>
      <c r="K33" s="4">
        <f t="shared" ref="K33:K35" si="2">H33*J33</f>
        <v>29.95</v>
      </c>
    </row>
    <row r="34" spans="1:13">
      <c r="B34" s="5" t="s">
        <v>223</v>
      </c>
      <c r="C34" s="5" t="s">
        <v>224</v>
      </c>
      <c r="D34" s="6" t="s">
        <v>221</v>
      </c>
      <c r="E34" s="5">
        <v>24</v>
      </c>
      <c r="G34" s="5" t="s">
        <v>22</v>
      </c>
      <c r="H34" s="4">
        <v>22.95</v>
      </c>
      <c r="I34" s="5">
        <v>2</v>
      </c>
      <c r="J34" s="5">
        <v>2</v>
      </c>
      <c r="K34" s="4">
        <f t="shared" si="2"/>
        <v>45.9</v>
      </c>
    </row>
    <row r="35" spans="1:13">
      <c r="B35" s="5" t="s">
        <v>225</v>
      </c>
      <c r="C35" s="5" t="s">
        <v>226</v>
      </c>
      <c r="D35" s="6" t="s">
        <v>221</v>
      </c>
      <c r="E35" s="5">
        <v>16</v>
      </c>
      <c r="G35" s="5" t="s">
        <v>22</v>
      </c>
      <c r="H35" s="4">
        <v>16.95</v>
      </c>
      <c r="I35" s="5">
        <v>2</v>
      </c>
      <c r="J35" s="5">
        <v>2</v>
      </c>
      <c r="K35" s="4">
        <f t="shared" si="2"/>
        <v>33.9</v>
      </c>
    </row>
    <row r="37" spans="1:13">
      <c r="A37" t="s">
        <v>243</v>
      </c>
    </row>
    <row r="38" spans="1:13">
      <c r="B38" s="5" t="s">
        <v>157</v>
      </c>
      <c r="C38" s="5" t="s">
        <v>77</v>
      </c>
      <c r="D38" s="6" t="s">
        <v>78</v>
      </c>
      <c r="G38" s="5" t="s">
        <v>22</v>
      </c>
      <c r="H38" s="4">
        <v>27.95</v>
      </c>
      <c r="I38" s="5">
        <v>2</v>
      </c>
      <c r="J38" s="5">
        <v>1</v>
      </c>
      <c r="K38" s="4">
        <f t="shared" ref="K38:K43" si="3">H38*J38</f>
        <v>27.95</v>
      </c>
    </row>
    <row r="39" spans="1:13" hidden="1">
      <c r="B39" s="5" t="s">
        <v>178</v>
      </c>
      <c r="C39" s="5" t="s">
        <v>119</v>
      </c>
      <c r="D39" s="6" t="s">
        <v>120</v>
      </c>
      <c r="G39" s="5" t="s">
        <v>22</v>
      </c>
      <c r="H39" s="4">
        <v>17.95</v>
      </c>
      <c r="I39" s="5">
        <v>1</v>
      </c>
      <c r="J39" s="5">
        <v>0</v>
      </c>
      <c r="K39" s="4">
        <f t="shared" si="3"/>
        <v>0</v>
      </c>
    </row>
    <row r="40" spans="1:13" hidden="1">
      <c r="B40" s="5" t="s">
        <v>160</v>
      </c>
      <c r="C40" s="5" t="s">
        <v>87</v>
      </c>
      <c r="D40" s="6" t="s">
        <v>88</v>
      </c>
      <c r="G40" s="5" t="s">
        <v>22</v>
      </c>
      <c r="H40" s="4">
        <v>22.95</v>
      </c>
      <c r="I40" s="5">
        <v>2</v>
      </c>
      <c r="J40" s="5">
        <v>0</v>
      </c>
      <c r="K40" s="4">
        <f t="shared" si="3"/>
        <v>0</v>
      </c>
    </row>
    <row r="41" spans="1:13">
      <c r="B41" s="5" t="s">
        <v>165</v>
      </c>
      <c r="C41" s="5" t="s">
        <v>124</v>
      </c>
      <c r="D41" s="6" t="s">
        <v>125</v>
      </c>
      <c r="G41" s="5" t="s">
        <v>22</v>
      </c>
      <c r="H41" s="4">
        <v>6.95</v>
      </c>
      <c r="I41" s="5">
        <v>2</v>
      </c>
      <c r="J41" s="5">
        <v>4</v>
      </c>
      <c r="K41" s="4">
        <f t="shared" si="3"/>
        <v>27.8</v>
      </c>
    </row>
    <row r="42" spans="1:13" hidden="1">
      <c r="B42" s="5" t="s">
        <v>214</v>
      </c>
      <c r="C42" s="5" t="s">
        <v>215</v>
      </c>
      <c r="G42" s="5" t="s">
        <v>22</v>
      </c>
      <c r="H42" s="4">
        <v>29.95</v>
      </c>
      <c r="I42" s="5">
        <v>1</v>
      </c>
      <c r="J42" s="5">
        <v>0</v>
      </c>
      <c r="K42" s="4">
        <f t="shared" si="3"/>
        <v>0</v>
      </c>
    </row>
    <row r="43" spans="1:13" hidden="1">
      <c r="B43" s="5" t="s">
        <v>216</v>
      </c>
      <c r="C43" s="5" t="s">
        <v>217</v>
      </c>
      <c r="D43" s="6" t="s">
        <v>218</v>
      </c>
      <c r="G43" s="5" t="s">
        <v>22</v>
      </c>
      <c r="H43" s="4">
        <v>34.950000000000003</v>
      </c>
      <c r="I43" s="5">
        <v>1</v>
      </c>
      <c r="J43" s="5">
        <v>0</v>
      </c>
      <c r="K43" s="4">
        <f t="shared" si="3"/>
        <v>0</v>
      </c>
    </row>
    <row r="45" spans="1:13">
      <c r="A45" s="5" t="s">
        <v>240</v>
      </c>
    </row>
    <row r="46" spans="1:13" hidden="1">
      <c r="B46" s="5" t="s">
        <v>198</v>
      </c>
      <c r="C46" s="5" t="s">
        <v>197</v>
      </c>
      <c r="D46" s="6" t="s">
        <v>199</v>
      </c>
      <c r="E46" s="5" t="s">
        <v>201</v>
      </c>
      <c r="G46" s="5" t="s">
        <v>200</v>
      </c>
      <c r="H46" s="4">
        <v>25</v>
      </c>
      <c r="I46" s="5">
        <v>1</v>
      </c>
      <c r="J46" s="5">
        <v>0</v>
      </c>
      <c r="K46" s="4">
        <f t="shared" ref="K46:K56" si="4">H46*J46</f>
        <v>0</v>
      </c>
    </row>
    <row r="47" spans="1:13" hidden="1">
      <c r="B47" s="5" t="s">
        <v>177</v>
      </c>
      <c r="C47" s="5" t="s">
        <v>117</v>
      </c>
      <c r="D47" s="6" t="s">
        <v>118</v>
      </c>
      <c r="G47" s="5" t="s">
        <v>22</v>
      </c>
      <c r="H47" s="4">
        <v>24.95</v>
      </c>
      <c r="I47" s="5">
        <v>1</v>
      </c>
      <c r="J47" s="5">
        <v>0</v>
      </c>
      <c r="K47" s="4">
        <f t="shared" si="4"/>
        <v>0</v>
      </c>
      <c r="L47" s="5" t="s">
        <v>211</v>
      </c>
      <c r="M47" s="5" t="s">
        <v>210</v>
      </c>
    </row>
    <row r="48" spans="1:13" hidden="1">
      <c r="B48" s="4" t="s">
        <v>38</v>
      </c>
      <c r="C48" s="5" t="s">
        <v>115</v>
      </c>
      <c r="D48" s="6" t="s">
        <v>116</v>
      </c>
      <c r="G48" s="5" t="s">
        <v>22</v>
      </c>
      <c r="H48" s="4">
        <v>5.95</v>
      </c>
      <c r="I48" s="5">
        <v>2</v>
      </c>
      <c r="J48" s="5">
        <v>0</v>
      </c>
      <c r="K48" s="4">
        <f t="shared" si="4"/>
        <v>0</v>
      </c>
    </row>
    <row r="49" spans="1:13" hidden="1">
      <c r="B49" s="5" t="s">
        <v>58</v>
      </c>
      <c r="D49" s="6" t="s">
        <v>59</v>
      </c>
      <c r="G49" s="5" t="s">
        <v>22</v>
      </c>
      <c r="H49" s="4">
        <v>15.95</v>
      </c>
      <c r="I49" s="5">
        <v>1</v>
      </c>
      <c r="J49" s="5">
        <v>0</v>
      </c>
      <c r="K49" s="4">
        <f t="shared" si="4"/>
        <v>0</v>
      </c>
    </row>
    <row r="50" spans="1:13" ht="12" hidden="1" customHeight="1">
      <c r="B50" s="5" t="s">
        <v>181</v>
      </c>
      <c r="C50" s="5" t="s">
        <v>122</v>
      </c>
      <c r="D50" s="6" t="s">
        <v>123</v>
      </c>
      <c r="G50" s="5" t="s">
        <v>22</v>
      </c>
      <c r="H50" s="4">
        <v>15.95</v>
      </c>
      <c r="I50" s="5">
        <v>1</v>
      </c>
      <c r="J50" s="5">
        <v>0</v>
      </c>
      <c r="K50" s="4">
        <f t="shared" si="4"/>
        <v>0</v>
      </c>
      <c r="M50" s="5" t="s">
        <v>212</v>
      </c>
    </row>
    <row r="51" spans="1:13" hidden="1">
      <c r="B51" s="5" t="s">
        <v>195</v>
      </c>
      <c r="C51" s="5" t="s">
        <v>194</v>
      </c>
      <c r="D51" s="6" t="s">
        <v>193</v>
      </c>
      <c r="G51" s="5" t="s">
        <v>22</v>
      </c>
      <c r="H51" s="4">
        <v>15.95</v>
      </c>
      <c r="I51" s="5">
        <v>1</v>
      </c>
      <c r="J51" s="5">
        <v>0</v>
      </c>
      <c r="K51" s="4">
        <f t="shared" si="4"/>
        <v>0</v>
      </c>
    </row>
    <row r="52" spans="1:13" hidden="1">
      <c r="C52" s="5" t="s">
        <v>146</v>
      </c>
      <c r="D52" s="6" t="s">
        <v>151</v>
      </c>
      <c r="G52" s="5" t="s">
        <v>22</v>
      </c>
      <c r="J52" s="5">
        <v>0</v>
      </c>
      <c r="K52" s="4">
        <f t="shared" si="4"/>
        <v>0</v>
      </c>
    </row>
    <row r="53" spans="1:13">
      <c r="B53" s="5" t="s">
        <v>60</v>
      </c>
      <c r="D53" s="6" t="s">
        <v>61</v>
      </c>
      <c r="G53" s="5" t="s">
        <v>22</v>
      </c>
      <c r="H53" s="4">
        <v>1.95</v>
      </c>
      <c r="I53" s="5">
        <v>1</v>
      </c>
      <c r="J53" s="5">
        <v>2</v>
      </c>
      <c r="K53" s="4">
        <f t="shared" si="4"/>
        <v>3.9</v>
      </c>
    </row>
    <row r="54" spans="1:13" hidden="1">
      <c r="B54" s="5" t="s">
        <v>156</v>
      </c>
      <c r="C54" s="5" t="s">
        <v>79</v>
      </c>
      <c r="D54" s="6" t="s">
        <v>80</v>
      </c>
      <c r="G54" s="5" t="s">
        <v>22</v>
      </c>
      <c r="H54" s="4">
        <v>1.95</v>
      </c>
      <c r="I54" s="5">
        <v>1</v>
      </c>
      <c r="J54" s="5">
        <v>0</v>
      </c>
      <c r="K54" s="4">
        <f t="shared" si="4"/>
        <v>0</v>
      </c>
    </row>
    <row r="55" spans="1:13" ht="25.5">
      <c r="B55" s="5" t="s">
        <v>202</v>
      </c>
      <c r="C55" s="5" t="s">
        <v>205</v>
      </c>
      <c r="D55" s="6" t="s">
        <v>206</v>
      </c>
      <c r="E55" s="5" t="s">
        <v>203</v>
      </c>
      <c r="G55" s="5" t="s">
        <v>204</v>
      </c>
      <c r="H55" s="4">
        <v>5</v>
      </c>
      <c r="I55" s="5">
        <v>1</v>
      </c>
      <c r="J55" s="5">
        <v>4</v>
      </c>
      <c r="K55" s="4">
        <f t="shared" si="4"/>
        <v>20</v>
      </c>
    </row>
    <row r="56" spans="1:13" hidden="1">
      <c r="B56" s="5" t="s">
        <v>196</v>
      </c>
      <c r="C56" s="5" t="s">
        <v>83</v>
      </c>
      <c r="D56" s="6" t="s">
        <v>84</v>
      </c>
      <c r="G56" s="5" t="s">
        <v>22</v>
      </c>
      <c r="H56" s="4">
        <v>79.95</v>
      </c>
      <c r="I56" s="5">
        <v>1</v>
      </c>
      <c r="J56" s="5">
        <v>0</v>
      </c>
      <c r="K56" s="4">
        <f t="shared" si="4"/>
        <v>0</v>
      </c>
    </row>
    <row r="58" spans="1:13" ht="16.5" customHeight="1">
      <c r="A58" s="5" t="s">
        <v>235</v>
      </c>
    </row>
    <row r="59" spans="1:13" hidden="1">
      <c r="B59" s="5" t="s">
        <v>28</v>
      </c>
      <c r="D59" s="6" t="s">
        <v>29</v>
      </c>
      <c r="G59" s="5" t="s">
        <v>22</v>
      </c>
      <c r="H59" s="4">
        <v>24.95</v>
      </c>
      <c r="I59" s="5">
        <v>1</v>
      </c>
      <c r="J59" s="5">
        <v>0</v>
      </c>
      <c r="K59" s="4">
        <f>H59*J59</f>
        <v>0</v>
      </c>
    </row>
    <row r="60" spans="1:13" ht="25.5">
      <c r="B60" s="5" t="s">
        <v>166</v>
      </c>
      <c r="C60" s="5" t="s">
        <v>93</v>
      </c>
      <c r="D60" s="6" t="s">
        <v>94</v>
      </c>
      <c r="G60" s="5" t="s">
        <v>22</v>
      </c>
      <c r="H60" s="4">
        <v>9.9499999999999993</v>
      </c>
      <c r="I60" s="5">
        <v>2</v>
      </c>
      <c r="J60" s="5">
        <v>1</v>
      </c>
      <c r="K60" s="4">
        <f>H60*J60</f>
        <v>9.9499999999999993</v>
      </c>
    </row>
    <row r="61" spans="1:13" ht="25.5" hidden="1">
      <c r="B61" s="5" t="s">
        <v>28</v>
      </c>
      <c r="C61" s="5" t="s">
        <v>146</v>
      </c>
      <c r="D61" s="6" t="s">
        <v>152</v>
      </c>
      <c r="G61" s="5" t="s">
        <v>22</v>
      </c>
      <c r="H61" s="4">
        <v>24.95</v>
      </c>
      <c r="I61" s="5">
        <v>1</v>
      </c>
      <c r="J61" s="5">
        <v>0</v>
      </c>
      <c r="K61" s="4">
        <f t="shared" ref="K61" si="5">H61*J61</f>
        <v>0</v>
      </c>
    </row>
    <row r="63" spans="1:13" ht="14.25" customHeight="1">
      <c r="A63" s="5" t="s">
        <v>241</v>
      </c>
    </row>
    <row r="64" spans="1:13" hidden="1">
      <c r="B64" s="5" t="s">
        <v>154</v>
      </c>
      <c r="C64" s="5" t="s">
        <v>73</v>
      </c>
      <c r="G64" s="5" t="s">
        <v>22</v>
      </c>
      <c r="H64" s="4">
        <v>89.95</v>
      </c>
      <c r="I64" s="5">
        <v>1</v>
      </c>
      <c r="J64" s="5">
        <v>0</v>
      </c>
      <c r="K64" s="4">
        <f>H64*J64</f>
        <v>0</v>
      </c>
      <c r="M64" s="5" t="s">
        <v>207</v>
      </c>
    </row>
    <row r="65" spans="1:13" hidden="1">
      <c r="C65" s="5" t="s">
        <v>74</v>
      </c>
      <c r="J65" s="5">
        <v>0</v>
      </c>
      <c r="K65" s="4">
        <f>H65*J65</f>
        <v>0</v>
      </c>
      <c r="M65" s="5" t="s">
        <v>208</v>
      </c>
    </row>
    <row r="66" spans="1:13" hidden="1">
      <c r="B66" s="5" t="s">
        <v>155</v>
      </c>
      <c r="C66" s="5" t="s">
        <v>75</v>
      </c>
      <c r="G66" s="5" t="s">
        <v>22</v>
      </c>
      <c r="H66" s="4">
        <v>79.95</v>
      </c>
      <c r="I66" s="5">
        <v>1</v>
      </c>
      <c r="J66" s="5">
        <v>0</v>
      </c>
      <c r="K66" s="4">
        <f>H66*J66</f>
        <v>0</v>
      </c>
    </row>
    <row r="67" spans="1:13" ht="14.25" customHeight="1"/>
    <row r="68" spans="1:13" ht="17.25" customHeight="1">
      <c r="A68" t="s">
        <v>244</v>
      </c>
    </row>
    <row r="69" spans="1:13" ht="14.25" hidden="1" customHeight="1">
      <c r="C69" t="s">
        <v>246</v>
      </c>
    </row>
    <row r="70" spans="1:13" ht="16.5" customHeight="1">
      <c r="B70" t="s">
        <v>256</v>
      </c>
      <c r="C70" t="s">
        <v>249</v>
      </c>
      <c r="D70" s="3" t="s">
        <v>250</v>
      </c>
      <c r="E70" t="s">
        <v>257</v>
      </c>
      <c r="G70" s="5" t="s">
        <v>248</v>
      </c>
      <c r="H70" s="4">
        <v>25.52</v>
      </c>
      <c r="I70" s="5">
        <v>1</v>
      </c>
      <c r="J70" s="5">
        <v>1</v>
      </c>
      <c r="K70" s="4">
        <f>H70*J70</f>
        <v>25.52</v>
      </c>
    </row>
    <row r="71" spans="1:13" ht="16.5" customHeight="1">
      <c r="C71"/>
      <c r="D71" s="3"/>
    </row>
    <row r="72" spans="1:13" ht="14.25" customHeight="1">
      <c r="A72" s="5" t="s">
        <v>232</v>
      </c>
      <c r="C72"/>
      <c r="D72" s="3"/>
    </row>
    <row r="73" spans="1:13" ht="12.75" customHeight="1">
      <c r="B73" s="5" t="s">
        <v>55</v>
      </c>
      <c r="C73" s="5" t="s">
        <v>89</v>
      </c>
      <c r="D73" s="6" t="s">
        <v>90</v>
      </c>
      <c r="E73" s="5" t="s">
        <v>258</v>
      </c>
      <c r="G73" s="5" t="s">
        <v>22</v>
      </c>
      <c r="H73" s="4">
        <v>19.95</v>
      </c>
      <c r="I73" s="5">
        <v>1</v>
      </c>
      <c r="J73" s="5">
        <v>2</v>
      </c>
      <c r="K73" s="4">
        <f>H73*J73</f>
        <v>39.9</v>
      </c>
      <c r="M73" s="5" t="s">
        <v>209</v>
      </c>
    </row>
    <row r="74" spans="1:13" ht="16.5" hidden="1" customHeight="1">
      <c r="B74" s="5" t="s">
        <v>158</v>
      </c>
      <c r="C74" s="5" t="s">
        <v>81</v>
      </c>
      <c r="D74" s="3" t="s">
        <v>251</v>
      </c>
      <c r="E74" s="5" t="s">
        <v>252</v>
      </c>
      <c r="G74" s="5" t="s">
        <v>22</v>
      </c>
      <c r="H74" s="4">
        <v>29.95</v>
      </c>
      <c r="I74" s="5">
        <v>2</v>
      </c>
      <c r="J74" s="5">
        <v>0</v>
      </c>
      <c r="K74" s="4">
        <f>H74*J74</f>
        <v>0</v>
      </c>
    </row>
    <row r="75" spans="1:13" ht="16.5" customHeight="1">
      <c r="B75" t="s">
        <v>253</v>
      </c>
      <c r="D75" s="3" t="s">
        <v>251</v>
      </c>
      <c r="E75" t="s">
        <v>258</v>
      </c>
      <c r="G75" s="5" t="s">
        <v>22</v>
      </c>
      <c r="H75" s="4">
        <v>29.95</v>
      </c>
      <c r="I75" s="5">
        <v>2</v>
      </c>
      <c r="J75" s="5">
        <v>1</v>
      </c>
      <c r="K75" s="4">
        <v>29.95</v>
      </c>
    </row>
    <row r="77" spans="1:13">
      <c r="A77" s="5" t="s">
        <v>234</v>
      </c>
    </row>
    <row r="78" spans="1:13" hidden="1">
      <c r="B78" s="5" t="s">
        <v>15</v>
      </c>
      <c r="D78" s="6" t="s">
        <v>16</v>
      </c>
      <c r="E78" s="5" t="s">
        <v>17</v>
      </c>
      <c r="G78" s="5" t="s">
        <v>18</v>
      </c>
      <c r="H78" s="4">
        <v>9.9499999999999993</v>
      </c>
      <c r="I78" s="5">
        <v>100</v>
      </c>
      <c r="J78" s="5">
        <v>0</v>
      </c>
      <c r="K78" s="4">
        <f t="shared" ref="K78:K94" si="6">H78*J78</f>
        <v>0</v>
      </c>
    </row>
    <row r="79" spans="1:13" hidden="1">
      <c r="B79" s="5" t="s">
        <v>19</v>
      </c>
      <c r="D79" s="6" t="s">
        <v>20</v>
      </c>
      <c r="E79" s="5" t="s">
        <v>21</v>
      </c>
      <c r="G79" s="5" t="s">
        <v>22</v>
      </c>
      <c r="H79" s="4">
        <v>9.9499999999999993</v>
      </c>
      <c r="I79" s="5">
        <v>100</v>
      </c>
      <c r="J79" s="5">
        <v>0</v>
      </c>
      <c r="K79" s="4">
        <f t="shared" si="6"/>
        <v>0</v>
      </c>
    </row>
    <row r="80" spans="1:13" hidden="1">
      <c r="B80" s="5" t="s">
        <v>25</v>
      </c>
      <c r="D80" s="6" t="s">
        <v>26</v>
      </c>
      <c r="E80" s="5" t="s">
        <v>27</v>
      </c>
      <c r="G80" s="5" t="s">
        <v>22</v>
      </c>
      <c r="H80" s="4">
        <v>8.9499999999999993</v>
      </c>
      <c r="I80" s="5">
        <v>50</v>
      </c>
      <c r="J80" s="5">
        <v>0</v>
      </c>
      <c r="K80" s="4">
        <f t="shared" si="6"/>
        <v>0</v>
      </c>
    </row>
    <row r="81" spans="1:12" hidden="1">
      <c r="B81" s="5" t="s">
        <v>23</v>
      </c>
      <c r="C81" s="5" t="s">
        <v>130</v>
      </c>
      <c r="D81" s="6" t="s">
        <v>131</v>
      </c>
      <c r="G81" s="5" t="s">
        <v>22</v>
      </c>
      <c r="H81" s="4">
        <v>2.95</v>
      </c>
      <c r="I81" s="5">
        <v>100</v>
      </c>
      <c r="J81" s="5">
        <v>0</v>
      </c>
      <c r="K81" s="4">
        <f>H81*J81</f>
        <v>0</v>
      </c>
    </row>
    <row r="82" spans="1:12" hidden="1">
      <c r="B82" s="5" t="s">
        <v>185</v>
      </c>
      <c r="C82" s="5" t="s">
        <v>132</v>
      </c>
      <c r="D82" s="6" t="s">
        <v>133</v>
      </c>
      <c r="G82" s="5" t="s">
        <v>22</v>
      </c>
      <c r="H82" s="4">
        <v>9.9499999999999993</v>
      </c>
      <c r="I82" s="5">
        <v>100</v>
      </c>
      <c r="J82" s="5">
        <v>0</v>
      </c>
      <c r="K82" s="4">
        <f>H82*J82</f>
        <v>0</v>
      </c>
    </row>
    <row r="83" spans="1:12" ht="17.25" hidden="1" customHeight="1">
      <c r="B83" s="5" t="s">
        <v>184</v>
      </c>
      <c r="C83" s="5" t="s">
        <v>134</v>
      </c>
      <c r="D83" s="6" t="s">
        <v>135</v>
      </c>
      <c r="G83" s="5" t="s">
        <v>22</v>
      </c>
      <c r="H83" s="4">
        <v>9.9499999999999993</v>
      </c>
      <c r="I83" s="5">
        <v>100</v>
      </c>
      <c r="J83" s="5">
        <v>0</v>
      </c>
      <c r="K83" s="4">
        <f>H83*J83</f>
        <v>0</v>
      </c>
    </row>
    <row r="84" spans="1:12" hidden="1">
      <c r="B84" s="5" t="s">
        <v>190</v>
      </c>
      <c r="C84" s="5" t="s">
        <v>144</v>
      </c>
      <c r="D84" s="6" t="s">
        <v>148</v>
      </c>
      <c r="G84" s="5" t="s">
        <v>22</v>
      </c>
      <c r="H84" s="4">
        <v>8.9499999999999993</v>
      </c>
      <c r="I84" s="5">
        <v>50</v>
      </c>
      <c r="J84" s="5">
        <v>0</v>
      </c>
      <c r="K84" s="4">
        <f>H84*J84</f>
        <v>0</v>
      </c>
    </row>
    <row r="87" spans="1:12">
      <c r="A87" s="5" t="s">
        <v>237</v>
      </c>
    </row>
    <row r="88" spans="1:12" hidden="1">
      <c r="B88" s="5" t="s">
        <v>44</v>
      </c>
      <c r="C88" s="5" t="s">
        <v>91</v>
      </c>
      <c r="D88" s="6" t="s">
        <v>92</v>
      </c>
      <c r="E88" s="5" t="s">
        <v>242</v>
      </c>
      <c r="G88" s="5" t="s">
        <v>22</v>
      </c>
      <c r="H88" s="4">
        <v>49.95</v>
      </c>
      <c r="I88" s="5">
        <v>1</v>
      </c>
      <c r="J88" s="5">
        <v>0</v>
      </c>
      <c r="K88" s="4">
        <f>H88*J88</f>
        <v>0</v>
      </c>
    </row>
    <row r="89" spans="1:12" hidden="1">
      <c r="B89" s="5" t="s">
        <v>159</v>
      </c>
      <c r="C89" s="5" t="s">
        <v>85</v>
      </c>
      <c r="D89" s="6" t="s">
        <v>86</v>
      </c>
      <c r="G89" s="5" t="s">
        <v>22</v>
      </c>
      <c r="H89" s="4">
        <v>5.95</v>
      </c>
      <c r="I89" s="5">
        <v>1</v>
      </c>
      <c r="J89" s="5">
        <v>0</v>
      </c>
      <c r="K89" s="4">
        <f>H89*J89</f>
        <v>0</v>
      </c>
      <c r="L89" s="11"/>
    </row>
    <row r="90" spans="1:12" hidden="1">
      <c r="B90" s="5" t="s">
        <v>163</v>
      </c>
      <c r="C90" s="5" t="s">
        <v>161</v>
      </c>
      <c r="D90" s="6" t="s">
        <v>162</v>
      </c>
      <c r="G90" s="5" t="s">
        <v>22</v>
      </c>
      <c r="H90" s="4">
        <v>24.95</v>
      </c>
      <c r="I90" s="5">
        <v>1</v>
      </c>
      <c r="J90" s="5">
        <v>0</v>
      </c>
      <c r="K90" s="4">
        <f>H90*J90</f>
        <v>0</v>
      </c>
    </row>
    <row r="92" spans="1:12">
      <c r="A92" s="5" t="s">
        <v>238</v>
      </c>
    </row>
    <row r="93" spans="1:12">
      <c r="B93" s="5" t="s">
        <v>51</v>
      </c>
      <c r="D93" s="6" t="s">
        <v>52</v>
      </c>
      <c r="G93" s="5" t="s">
        <v>22</v>
      </c>
      <c r="H93" s="4">
        <v>16.95</v>
      </c>
      <c r="J93" s="5">
        <v>1</v>
      </c>
      <c r="K93" s="4">
        <f t="shared" si="6"/>
        <v>16.95</v>
      </c>
    </row>
    <row r="94" spans="1:12">
      <c r="B94" s="5" t="s">
        <v>254</v>
      </c>
      <c r="D94" s="3" t="s">
        <v>48</v>
      </c>
      <c r="E94" t="s">
        <v>255</v>
      </c>
      <c r="G94" s="5" t="s">
        <v>22</v>
      </c>
      <c r="H94" s="4">
        <v>0.95</v>
      </c>
      <c r="I94" t="s">
        <v>50</v>
      </c>
      <c r="J94" s="5">
        <v>2</v>
      </c>
      <c r="K94" s="4">
        <f t="shared" si="6"/>
        <v>1.9</v>
      </c>
    </row>
    <row r="96" spans="1:12">
      <c r="A96" s="5" t="s">
        <v>239</v>
      </c>
    </row>
    <row r="97" spans="2:11" hidden="1">
      <c r="B97" s="5" t="s">
        <v>62</v>
      </c>
      <c r="D97" s="6" t="s">
        <v>63</v>
      </c>
      <c r="E97" s="5">
        <v>346</v>
      </c>
      <c r="G97" s="5" t="s">
        <v>64</v>
      </c>
      <c r="H97" s="4">
        <v>27.17</v>
      </c>
      <c r="I97" s="5" t="s">
        <v>65</v>
      </c>
      <c r="J97" s="5">
        <v>0</v>
      </c>
      <c r="K97" s="4">
        <f>H97*J97</f>
        <v>0</v>
      </c>
    </row>
    <row r="98" spans="2:11" hidden="1">
      <c r="B98" s="5" t="s">
        <v>66</v>
      </c>
      <c r="D98" s="6" t="s">
        <v>67</v>
      </c>
      <c r="E98" s="5">
        <v>693</v>
      </c>
      <c r="G98" s="5" t="s">
        <v>64</v>
      </c>
      <c r="H98" s="4">
        <v>12.77</v>
      </c>
      <c r="I98" s="5" t="s">
        <v>68</v>
      </c>
      <c r="J98" s="5">
        <v>0</v>
      </c>
      <c r="K98" s="4">
        <f>H98*J98</f>
        <v>0</v>
      </c>
    </row>
    <row r="99" spans="2:11" hidden="1">
      <c r="B99" s="5" t="s">
        <v>69</v>
      </c>
      <c r="D99" s="3" t="s">
        <v>247</v>
      </c>
      <c r="E99" s="5" t="s">
        <v>71</v>
      </c>
      <c r="G99" s="5" t="s">
        <v>72</v>
      </c>
      <c r="H99" s="4">
        <v>1.52</v>
      </c>
      <c r="I99" s="5">
        <v>1</v>
      </c>
      <c r="J99" s="5">
        <v>0</v>
      </c>
      <c r="K99" s="4">
        <f>H99*J99</f>
        <v>0</v>
      </c>
    </row>
    <row r="102" spans="2:11">
      <c r="B102" s="5" t="s">
        <v>188</v>
      </c>
      <c r="C102" s="7" t="s">
        <v>140</v>
      </c>
      <c r="D102" s="6" t="s">
        <v>141</v>
      </c>
      <c r="G102" s="5" t="s">
        <v>22</v>
      </c>
      <c r="H102" s="4">
        <v>3.95</v>
      </c>
      <c r="I102" s="5">
        <v>12</v>
      </c>
      <c r="J102" s="5">
        <v>1</v>
      </c>
      <c r="K102" s="4">
        <f>H102*J102</f>
        <v>3.95</v>
      </c>
    </row>
    <row r="103" spans="2:11">
      <c r="B103" s="5" t="s">
        <v>189</v>
      </c>
      <c r="C103" s="5" t="s">
        <v>142</v>
      </c>
      <c r="D103" s="6" t="s">
        <v>143</v>
      </c>
      <c r="G103" s="5" t="s">
        <v>22</v>
      </c>
      <c r="H103" s="4">
        <v>4.95</v>
      </c>
      <c r="I103" s="5">
        <v>12</v>
      </c>
      <c r="J103" s="5">
        <v>1</v>
      </c>
      <c r="K103" s="4">
        <f>H103*J103</f>
        <v>4.95</v>
      </c>
    </row>
    <row r="104" spans="2:11" hidden="1">
      <c r="B104" s="5" t="s">
        <v>182</v>
      </c>
      <c r="C104" s="5" t="s">
        <v>126</v>
      </c>
      <c r="D104" s="6" t="s">
        <v>127</v>
      </c>
      <c r="G104" s="5" t="s">
        <v>22</v>
      </c>
      <c r="H104" s="4">
        <v>13.95</v>
      </c>
      <c r="I104" s="5">
        <v>12</v>
      </c>
      <c r="J104" s="5">
        <v>0</v>
      </c>
      <c r="K104" s="4">
        <f>H104*J104</f>
        <v>0</v>
      </c>
    </row>
    <row r="105" spans="2:11" hidden="1">
      <c r="B105" s="5" t="s">
        <v>191</v>
      </c>
      <c r="C105" s="5" t="s">
        <v>145</v>
      </c>
      <c r="D105" s="6" t="s">
        <v>149</v>
      </c>
      <c r="G105" s="5" t="s">
        <v>22</v>
      </c>
      <c r="H105" s="4">
        <v>12</v>
      </c>
      <c r="I105" s="5">
        <v>12</v>
      </c>
      <c r="J105" s="5">
        <v>0</v>
      </c>
      <c r="K105" s="4">
        <f>H105*J105</f>
        <v>0</v>
      </c>
    </row>
    <row r="108" spans="2:11">
      <c r="K108" s="4">
        <f>SUM(K2:K107)</f>
        <v>661.77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6"/>
  <sheetViews>
    <sheetView topLeftCell="A13" zoomScaleNormal="100" workbookViewId="0">
      <pane ySplit="660" topLeftCell="A50" activePane="bottomLeft"/>
      <selection activeCell="B1" sqref="B1"/>
      <selection pane="bottomLeft" activeCell="C70" sqref="C70"/>
    </sheetView>
  </sheetViews>
  <sheetFormatPr defaultRowHeight="12.75"/>
  <cols>
    <col min="1" max="1" width="9.140625" style="5"/>
    <col min="2" max="2" width="16" style="5" customWidth="1"/>
    <col min="3" max="3" width="28.28515625" style="5" customWidth="1"/>
    <col min="4" max="4" width="26.28515625" style="6" customWidth="1"/>
    <col min="5" max="5" width="11.7109375" style="5" customWidth="1"/>
    <col min="6" max="6" width="6" style="5" customWidth="1"/>
    <col min="7" max="7" width="13" style="5" customWidth="1"/>
    <col min="8" max="8" width="9" style="4" customWidth="1"/>
    <col min="9" max="9" width="12.42578125" style="5" customWidth="1"/>
    <col min="10" max="10" width="8.85546875" style="5" customWidth="1"/>
    <col min="11" max="11" width="9.140625" style="4"/>
    <col min="12" max="16384" width="9.140625" style="5"/>
  </cols>
  <sheetData>
    <row r="1" spans="1:11">
      <c r="B1" s="5" t="s">
        <v>0</v>
      </c>
      <c r="C1" s="5" t="s">
        <v>76</v>
      </c>
      <c r="D1" s="6" t="s">
        <v>1</v>
      </c>
      <c r="E1" s="5" t="s">
        <v>2</v>
      </c>
      <c r="F1" s="5" t="s">
        <v>3</v>
      </c>
      <c r="G1" s="5" t="s">
        <v>4</v>
      </c>
      <c r="H1" s="4" t="s">
        <v>5</v>
      </c>
      <c r="I1" s="5" t="s">
        <v>6</v>
      </c>
      <c r="J1" s="5" t="s">
        <v>7</v>
      </c>
      <c r="K1" s="4" t="s">
        <v>8</v>
      </c>
    </row>
    <row r="2" spans="1:11">
      <c r="A2" s="5" t="s">
        <v>228</v>
      </c>
    </row>
    <row r="3" spans="1:11">
      <c r="B3" s="5" t="s">
        <v>9</v>
      </c>
      <c r="C3" s="5" t="s">
        <v>107</v>
      </c>
      <c r="D3" s="6" t="s">
        <v>108</v>
      </c>
      <c r="G3" s="5" t="s">
        <v>22</v>
      </c>
      <c r="H3" s="4">
        <v>17.95</v>
      </c>
      <c r="I3" s="5">
        <v>1</v>
      </c>
      <c r="J3" s="5">
        <v>4</v>
      </c>
      <c r="K3" s="4">
        <f>H3*J3</f>
        <v>71.8</v>
      </c>
    </row>
    <row r="4" spans="1:11">
      <c r="B4" s="5" t="s">
        <v>172</v>
      </c>
      <c r="C4" s="5" t="s">
        <v>105</v>
      </c>
      <c r="D4" s="6" t="s">
        <v>106</v>
      </c>
      <c r="G4" s="5" t="s">
        <v>22</v>
      </c>
      <c r="H4" s="4">
        <v>27.95</v>
      </c>
      <c r="I4" s="5">
        <v>2</v>
      </c>
      <c r="J4" s="5">
        <v>2</v>
      </c>
      <c r="K4" s="4">
        <f>H4*J4</f>
        <v>55.9</v>
      </c>
    </row>
    <row r="5" spans="1:11">
      <c r="B5" s="5" t="s">
        <v>171</v>
      </c>
      <c r="C5" s="5" t="s">
        <v>103</v>
      </c>
      <c r="D5" s="6" t="s">
        <v>104</v>
      </c>
      <c r="G5" s="5" t="s">
        <v>22</v>
      </c>
      <c r="H5" s="4">
        <v>16.95</v>
      </c>
      <c r="I5" s="5">
        <v>2</v>
      </c>
      <c r="J5" s="5">
        <v>2</v>
      </c>
      <c r="K5" s="4">
        <f>H5*J5</f>
        <v>33.9</v>
      </c>
    </row>
    <row r="6" spans="1:11">
      <c r="B6" s="5" t="s">
        <v>170</v>
      </c>
      <c r="C6" s="5" t="s">
        <v>101</v>
      </c>
      <c r="D6" s="6" t="s">
        <v>102</v>
      </c>
      <c r="G6" s="5" t="s">
        <v>22</v>
      </c>
      <c r="H6" s="4">
        <v>11.95</v>
      </c>
      <c r="I6" s="5">
        <v>2</v>
      </c>
      <c r="J6" s="5">
        <v>4</v>
      </c>
      <c r="K6" s="4">
        <f>H6*J6</f>
        <v>47.8</v>
      </c>
    </row>
    <row r="7" spans="1:11">
      <c r="B7" s="5" t="s">
        <v>169</v>
      </c>
      <c r="C7" s="5" t="s">
        <v>99</v>
      </c>
      <c r="D7" s="6" t="s">
        <v>100</v>
      </c>
      <c r="G7" s="5" t="s">
        <v>22</v>
      </c>
      <c r="H7" s="4">
        <v>9.9499999999999993</v>
      </c>
      <c r="I7" s="5">
        <v>2</v>
      </c>
      <c r="J7" s="5">
        <v>2</v>
      </c>
      <c r="K7" s="4">
        <f>H7*J7</f>
        <v>19.899999999999999</v>
      </c>
    </row>
    <row r="9" spans="1:11">
      <c r="A9" s="5" t="s">
        <v>227</v>
      </c>
    </row>
    <row r="10" spans="1:11">
      <c r="B10" s="5" t="s">
        <v>167</v>
      </c>
      <c r="C10" s="5" t="s">
        <v>95</v>
      </c>
      <c r="D10" s="6" t="s">
        <v>96</v>
      </c>
      <c r="G10" s="5" t="s">
        <v>22</v>
      </c>
      <c r="H10" s="4">
        <v>5.95</v>
      </c>
      <c r="I10" s="5">
        <v>2</v>
      </c>
      <c r="J10" s="5">
        <v>4</v>
      </c>
      <c r="K10" s="4">
        <f>H10*J10</f>
        <v>23.8</v>
      </c>
    </row>
    <row r="11" spans="1:11">
      <c r="B11" s="5" t="s">
        <v>168</v>
      </c>
      <c r="C11" s="5" t="s">
        <v>97</v>
      </c>
      <c r="D11" s="6" t="s">
        <v>98</v>
      </c>
      <c r="G11" s="5" t="s">
        <v>22</v>
      </c>
      <c r="H11" s="4">
        <v>4.95</v>
      </c>
      <c r="I11" s="5">
        <v>2</v>
      </c>
      <c r="J11" s="5">
        <v>0</v>
      </c>
      <c r="K11" s="4">
        <f>H11*J11</f>
        <v>0</v>
      </c>
    </row>
    <row r="12" spans="1:11">
      <c r="B12" s="5" t="s">
        <v>13</v>
      </c>
      <c r="D12" s="6" t="s">
        <v>14</v>
      </c>
      <c r="G12" s="5" t="s">
        <v>12</v>
      </c>
      <c r="H12" s="4">
        <v>4.95</v>
      </c>
      <c r="I12" s="5">
        <v>2</v>
      </c>
      <c r="J12" s="5">
        <v>4</v>
      </c>
      <c r="K12" s="4">
        <f>H12*J12</f>
        <v>19.8</v>
      </c>
    </row>
    <row r="13" spans="1:11">
      <c r="B13" s="5" t="s">
        <v>173</v>
      </c>
      <c r="C13" s="5" t="s">
        <v>147</v>
      </c>
      <c r="D13" s="6" t="s">
        <v>153</v>
      </c>
      <c r="G13" s="5" t="s">
        <v>22</v>
      </c>
      <c r="H13" s="4">
        <v>4.95</v>
      </c>
      <c r="I13" s="5">
        <v>2</v>
      </c>
      <c r="J13" s="5">
        <v>6</v>
      </c>
      <c r="K13" s="4">
        <f t="shared" ref="K13" si="0">H13*J13</f>
        <v>29.700000000000003</v>
      </c>
    </row>
    <row r="15" spans="1:11">
      <c r="A15" s="5" t="s">
        <v>229</v>
      </c>
    </row>
    <row r="16" spans="1:11">
      <c r="B16" s="5" t="s">
        <v>174</v>
      </c>
      <c r="C16" s="5" t="s">
        <v>109</v>
      </c>
      <c r="D16" s="6" t="s">
        <v>110</v>
      </c>
      <c r="G16" s="5" t="s">
        <v>22</v>
      </c>
      <c r="H16" s="4">
        <v>13.95</v>
      </c>
      <c r="I16" s="5">
        <v>2</v>
      </c>
      <c r="J16" s="5">
        <v>3</v>
      </c>
      <c r="K16" s="4">
        <f>H16*J16</f>
        <v>41.849999999999994</v>
      </c>
    </row>
    <row r="17" spans="1:12">
      <c r="B17" s="5" t="s">
        <v>175</v>
      </c>
      <c r="C17" s="5" t="s">
        <v>111</v>
      </c>
      <c r="D17" s="6" t="s">
        <v>112</v>
      </c>
      <c r="G17" s="5" t="s">
        <v>22</v>
      </c>
      <c r="H17" s="4">
        <v>10.95</v>
      </c>
      <c r="I17" s="5">
        <v>2</v>
      </c>
      <c r="J17" s="5">
        <v>3</v>
      </c>
      <c r="K17" s="4">
        <f>H17*J17</f>
        <v>32.849999999999994</v>
      </c>
    </row>
    <row r="19" spans="1:12">
      <c r="A19" s="5" t="s">
        <v>231</v>
      </c>
    </row>
    <row r="20" spans="1:12">
      <c r="B20" s="5" t="s">
        <v>176</v>
      </c>
      <c r="C20" s="5" t="s">
        <v>113</v>
      </c>
      <c r="D20" s="6" t="s">
        <v>230</v>
      </c>
      <c r="G20" s="5" t="s">
        <v>22</v>
      </c>
      <c r="H20" s="4">
        <v>12.95</v>
      </c>
      <c r="I20" s="5">
        <v>2</v>
      </c>
      <c r="J20" s="5">
        <v>2</v>
      </c>
      <c r="K20" s="4">
        <f>H20*J20</f>
        <v>25.9</v>
      </c>
    </row>
    <row r="22" spans="1:12">
      <c r="A22" s="5" t="s">
        <v>233</v>
      </c>
    </row>
    <row r="23" spans="1:12">
      <c r="B23" s="5" t="s">
        <v>33</v>
      </c>
      <c r="D23" s="6" t="s">
        <v>32</v>
      </c>
      <c r="E23" s="5" t="s">
        <v>35</v>
      </c>
      <c r="G23" s="5" t="s">
        <v>22</v>
      </c>
      <c r="H23" s="4">
        <v>15.95</v>
      </c>
      <c r="I23" s="5">
        <v>6</v>
      </c>
      <c r="J23" s="5">
        <v>1</v>
      </c>
      <c r="K23" s="4">
        <f>H23*J23</f>
        <v>15.95</v>
      </c>
    </row>
    <row r="24" spans="1:12">
      <c r="B24" s="5" t="s">
        <v>36</v>
      </c>
      <c r="D24" s="6" t="s">
        <v>32</v>
      </c>
      <c r="E24" s="5" t="s">
        <v>37</v>
      </c>
      <c r="G24" s="5" t="s">
        <v>22</v>
      </c>
      <c r="H24" s="4">
        <v>15.95</v>
      </c>
      <c r="I24" s="5">
        <v>3</v>
      </c>
      <c r="J24" s="5">
        <v>1</v>
      </c>
      <c r="K24" s="4">
        <f>H24*J24</f>
        <v>15.95</v>
      </c>
    </row>
    <row r="25" spans="1:12">
      <c r="B25" s="5" t="s">
        <v>30</v>
      </c>
      <c r="D25" s="6" t="s">
        <v>31</v>
      </c>
      <c r="E25" s="5" t="s">
        <v>32</v>
      </c>
      <c r="G25" s="5" t="s">
        <v>22</v>
      </c>
      <c r="H25" s="4">
        <v>6.95</v>
      </c>
      <c r="I25" s="5">
        <v>2</v>
      </c>
      <c r="J25" s="5">
        <v>0</v>
      </c>
      <c r="K25" s="4">
        <f>H25*J25</f>
        <v>0</v>
      </c>
    </row>
    <row r="26" spans="1:12" customFormat="1">
      <c r="A26" s="5"/>
      <c r="B26" t="s">
        <v>192</v>
      </c>
      <c r="C26" t="s">
        <v>146</v>
      </c>
      <c r="D26" s="3" t="s">
        <v>150</v>
      </c>
      <c r="G26" t="s">
        <v>22</v>
      </c>
      <c r="H26" s="1">
        <v>6.95</v>
      </c>
      <c r="I26">
        <v>2</v>
      </c>
      <c r="J26">
        <v>5</v>
      </c>
      <c r="K26" s="1">
        <f t="shared" ref="K26" si="1">H26*J26</f>
        <v>34.75</v>
      </c>
      <c r="L26" s="9"/>
    </row>
    <row r="27" spans="1:12">
      <c r="B27" s="5" t="s">
        <v>183</v>
      </c>
      <c r="C27" s="5" t="s">
        <v>128</v>
      </c>
      <c r="D27" s="6" t="s">
        <v>129</v>
      </c>
      <c r="G27" s="5" t="s">
        <v>22</v>
      </c>
      <c r="H27" s="4">
        <v>3.95</v>
      </c>
      <c r="I27" s="5">
        <v>6</v>
      </c>
      <c r="J27" s="5">
        <v>2</v>
      </c>
      <c r="K27" s="4">
        <f>H27*J27</f>
        <v>7.9</v>
      </c>
    </row>
    <row r="28" spans="1:12">
      <c r="B28" s="5" t="s">
        <v>186</v>
      </c>
      <c r="C28" s="5" t="s">
        <v>136</v>
      </c>
      <c r="D28" s="6" t="s">
        <v>137</v>
      </c>
      <c r="G28" s="5" t="s">
        <v>22</v>
      </c>
      <c r="H28" s="4">
        <v>1.95</v>
      </c>
      <c r="I28" s="5">
        <v>12</v>
      </c>
      <c r="J28" s="5">
        <v>0</v>
      </c>
      <c r="K28" s="4">
        <f>H28*J28</f>
        <v>0</v>
      </c>
    </row>
    <row r="29" spans="1:12">
      <c r="B29" s="5" t="s">
        <v>187</v>
      </c>
      <c r="C29" s="5" t="s">
        <v>138</v>
      </c>
      <c r="D29" s="6" t="s">
        <v>139</v>
      </c>
      <c r="G29" s="5" t="s">
        <v>22</v>
      </c>
      <c r="H29" s="4">
        <v>0.95</v>
      </c>
      <c r="I29" s="5">
        <v>6</v>
      </c>
      <c r="J29" s="5">
        <v>0</v>
      </c>
      <c r="K29" s="4">
        <f>H29*J29</f>
        <v>0</v>
      </c>
    </row>
    <row r="31" spans="1:12" ht="14.25" customHeight="1">
      <c r="A31" s="5" t="s">
        <v>236</v>
      </c>
    </row>
    <row r="32" spans="1:12">
      <c r="B32" s="5" t="s">
        <v>41</v>
      </c>
      <c r="D32" s="6" t="s">
        <v>42</v>
      </c>
      <c r="G32" s="5" t="s">
        <v>22</v>
      </c>
      <c r="H32" s="4">
        <v>13.95</v>
      </c>
      <c r="I32" s="5" t="s">
        <v>43</v>
      </c>
      <c r="J32" s="5">
        <v>1</v>
      </c>
      <c r="K32" s="4">
        <f>H32*J32</f>
        <v>13.95</v>
      </c>
    </row>
    <row r="33" spans="1:13">
      <c r="B33" s="5" t="s">
        <v>219</v>
      </c>
      <c r="C33" s="5" t="s">
        <v>220</v>
      </c>
      <c r="D33" s="6" t="s">
        <v>221</v>
      </c>
      <c r="E33" s="5">
        <v>32</v>
      </c>
      <c r="G33" s="5" t="s">
        <v>22</v>
      </c>
      <c r="H33" s="4">
        <v>29.95</v>
      </c>
      <c r="I33" s="5">
        <v>2</v>
      </c>
      <c r="J33" s="5">
        <v>2</v>
      </c>
      <c r="K33" s="4">
        <f t="shared" ref="K33:K35" si="2">H33*J33</f>
        <v>59.9</v>
      </c>
    </row>
    <row r="34" spans="1:13">
      <c r="B34" s="5" t="s">
        <v>223</v>
      </c>
      <c r="C34" s="5" t="s">
        <v>224</v>
      </c>
      <c r="D34" s="6" t="s">
        <v>221</v>
      </c>
      <c r="E34" s="5">
        <v>24</v>
      </c>
      <c r="G34" s="5" t="s">
        <v>22</v>
      </c>
      <c r="H34" s="4">
        <v>22.95</v>
      </c>
      <c r="I34" s="5">
        <v>2</v>
      </c>
      <c r="J34" s="5">
        <v>2</v>
      </c>
      <c r="K34" s="4">
        <f t="shared" si="2"/>
        <v>45.9</v>
      </c>
    </row>
    <row r="35" spans="1:13">
      <c r="B35" s="5" t="s">
        <v>225</v>
      </c>
      <c r="C35" s="5" t="s">
        <v>226</v>
      </c>
      <c r="D35" s="6" t="s">
        <v>221</v>
      </c>
      <c r="E35" s="5">
        <v>16</v>
      </c>
      <c r="G35" s="5" t="s">
        <v>22</v>
      </c>
      <c r="H35" s="4">
        <v>16.95</v>
      </c>
      <c r="I35" s="5">
        <v>2</v>
      </c>
      <c r="J35" s="5">
        <v>2</v>
      </c>
      <c r="K35" s="4">
        <f t="shared" si="2"/>
        <v>33.9</v>
      </c>
    </row>
    <row r="37" spans="1:13">
      <c r="A37" t="s">
        <v>243</v>
      </c>
    </row>
    <row r="38" spans="1:13">
      <c r="B38" s="5" t="s">
        <v>157</v>
      </c>
      <c r="C38" s="5" t="s">
        <v>77</v>
      </c>
      <c r="D38" s="6" t="s">
        <v>78</v>
      </c>
      <c r="G38" s="5" t="s">
        <v>22</v>
      </c>
      <c r="H38" s="4">
        <v>27.95</v>
      </c>
      <c r="I38" s="5">
        <v>2</v>
      </c>
      <c r="J38" s="5">
        <v>1</v>
      </c>
      <c r="K38" s="4">
        <f t="shared" ref="K38:K43" si="3">H38*J38</f>
        <v>27.95</v>
      </c>
    </row>
    <row r="39" spans="1:13">
      <c r="B39" s="5" t="s">
        <v>178</v>
      </c>
      <c r="C39" s="5" t="s">
        <v>119</v>
      </c>
      <c r="D39" s="6" t="s">
        <v>120</v>
      </c>
      <c r="G39" s="5" t="s">
        <v>22</v>
      </c>
      <c r="H39" s="4">
        <v>17.95</v>
      </c>
      <c r="I39" s="5">
        <v>1</v>
      </c>
      <c r="J39" s="5">
        <v>0</v>
      </c>
      <c r="K39" s="4">
        <f t="shared" si="3"/>
        <v>0</v>
      </c>
    </row>
    <row r="40" spans="1:13">
      <c r="B40" s="5" t="s">
        <v>160</v>
      </c>
      <c r="C40" s="5" t="s">
        <v>87</v>
      </c>
      <c r="D40" s="6" t="s">
        <v>88</v>
      </c>
      <c r="G40" s="5" t="s">
        <v>22</v>
      </c>
      <c r="H40" s="4">
        <v>22.95</v>
      </c>
      <c r="I40" s="5">
        <v>2</v>
      </c>
      <c r="J40" s="5">
        <v>0</v>
      </c>
      <c r="K40" s="4">
        <f t="shared" si="3"/>
        <v>0</v>
      </c>
    </row>
    <row r="41" spans="1:13">
      <c r="B41" s="5" t="s">
        <v>165</v>
      </c>
      <c r="C41" s="5" t="s">
        <v>124</v>
      </c>
      <c r="D41" s="6" t="s">
        <v>125</v>
      </c>
      <c r="G41" s="5" t="s">
        <v>22</v>
      </c>
      <c r="H41" s="4">
        <v>6.95</v>
      </c>
      <c r="I41" s="5">
        <v>2</v>
      </c>
      <c r="J41" s="5">
        <v>4</v>
      </c>
      <c r="K41" s="4">
        <f t="shared" si="3"/>
        <v>27.8</v>
      </c>
    </row>
    <row r="42" spans="1:13">
      <c r="B42" s="5" t="s">
        <v>214</v>
      </c>
      <c r="C42" s="5" t="s">
        <v>215</v>
      </c>
      <c r="G42" s="5" t="s">
        <v>22</v>
      </c>
      <c r="H42" s="4">
        <v>29.95</v>
      </c>
      <c r="I42" s="5">
        <v>1</v>
      </c>
      <c r="J42" s="5">
        <v>1</v>
      </c>
      <c r="K42" s="4">
        <f t="shared" si="3"/>
        <v>29.95</v>
      </c>
    </row>
    <row r="43" spans="1:13">
      <c r="B43" s="5" t="s">
        <v>216</v>
      </c>
      <c r="C43" s="5" t="s">
        <v>217</v>
      </c>
      <c r="D43" s="6" t="s">
        <v>218</v>
      </c>
      <c r="G43" s="5" t="s">
        <v>22</v>
      </c>
      <c r="H43" s="4">
        <v>34.950000000000003</v>
      </c>
      <c r="I43" s="5">
        <v>1</v>
      </c>
      <c r="J43" s="5">
        <v>1</v>
      </c>
      <c r="K43" s="4">
        <f t="shared" si="3"/>
        <v>34.950000000000003</v>
      </c>
    </row>
    <row r="45" spans="1:13">
      <c r="A45" s="5" t="s">
        <v>240</v>
      </c>
    </row>
    <row r="46" spans="1:13">
      <c r="B46" s="5" t="s">
        <v>198</v>
      </c>
      <c r="C46" s="5" t="s">
        <v>197</v>
      </c>
      <c r="D46" s="6" t="s">
        <v>199</v>
      </c>
      <c r="E46" s="5" t="s">
        <v>201</v>
      </c>
      <c r="G46" s="5" t="s">
        <v>200</v>
      </c>
      <c r="H46" s="4">
        <v>25</v>
      </c>
      <c r="I46" s="5">
        <v>1</v>
      </c>
      <c r="J46" s="5">
        <v>0</v>
      </c>
      <c r="K46" s="4">
        <f t="shared" ref="K46:K56" si="4">H46*J46</f>
        <v>0</v>
      </c>
    </row>
    <row r="47" spans="1:13">
      <c r="B47" s="5" t="s">
        <v>177</v>
      </c>
      <c r="C47" s="5" t="s">
        <v>117</v>
      </c>
      <c r="D47" s="6" t="s">
        <v>118</v>
      </c>
      <c r="G47" s="5" t="s">
        <v>22</v>
      </c>
      <c r="H47" s="4">
        <v>24.95</v>
      </c>
      <c r="I47" s="5">
        <v>1</v>
      </c>
      <c r="J47" s="5">
        <v>0</v>
      </c>
      <c r="K47" s="4">
        <f t="shared" si="4"/>
        <v>0</v>
      </c>
      <c r="L47" s="5" t="s">
        <v>211</v>
      </c>
      <c r="M47" s="5" t="s">
        <v>210</v>
      </c>
    </row>
    <row r="48" spans="1:13">
      <c r="B48" s="4" t="s">
        <v>38</v>
      </c>
      <c r="C48" s="5" t="s">
        <v>115</v>
      </c>
      <c r="D48" s="6" t="s">
        <v>116</v>
      </c>
      <c r="G48" s="5" t="s">
        <v>22</v>
      </c>
      <c r="H48" s="4">
        <v>5.95</v>
      </c>
      <c r="I48" s="5">
        <v>2</v>
      </c>
      <c r="J48" s="5">
        <v>1</v>
      </c>
      <c r="K48" s="4">
        <f t="shared" si="4"/>
        <v>5.95</v>
      </c>
    </row>
    <row r="49" spans="1:13">
      <c r="B49" s="5" t="s">
        <v>58</v>
      </c>
      <c r="D49" s="6" t="s">
        <v>59</v>
      </c>
      <c r="G49" s="5" t="s">
        <v>22</v>
      </c>
      <c r="H49" s="4">
        <v>15.95</v>
      </c>
      <c r="I49" s="5">
        <v>1</v>
      </c>
      <c r="J49" s="5">
        <v>0</v>
      </c>
      <c r="K49" s="4">
        <f t="shared" si="4"/>
        <v>0</v>
      </c>
    </row>
    <row r="50" spans="1:13" ht="12" customHeight="1">
      <c r="B50" s="5" t="s">
        <v>181</v>
      </c>
      <c r="C50" s="5" t="s">
        <v>122</v>
      </c>
      <c r="D50" s="6" t="s">
        <v>123</v>
      </c>
      <c r="G50" s="5" t="s">
        <v>22</v>
      </c>
      <c r="H50" s="4">
        <v>15.95</v>
      </c>
      <c r="I50" s="5">
        <v>1</v>
      </c>
      <c r="J50" s="5">
        <v>4</v>
      </c>
      <c r="K50" s="4">
        <f t="shared" si="4"/>
        <v>63.8</v>
      </c>
      <c r="M50" s="5" t="s">
        <v>212</v>
      </c>
    </row>
    <row r="51" spans="1:13">
      <c r="B51" s="5" t="s">
        <v>195</v>
      </c>
      <c r="C51" s="5" t="s">
        <v>194</v>
      </c>
      <c r="D51" s="6" t="s">
        <v>193</v>
      </c>
      <c r="G51" s="5" t="s">
        <v>22</v>
      </c>
      <c r="H51" s="4">
        <v>15.95</v>
      </c>
      <c r="I51" s="5">
        <v>1</v>
      </c>
      <c r="J51" s="5">
        <v>0</v>
      </c>
      <c r="K51" s="4">
        <f t="shared" si="4"/>
        <v>0</v>
      </c>
    </row>
    <row r="52" spans="1:13">
      <c r="C52" s="5" t="s">
        <v>146</v>
      </c>
      <c r="D52" s="6" t="s">
        <v>151</v>
      </c>
      <c r="G52" s="5" t="s">
        <v>22</v>
      </c>
      <c r="J52" s="5">
        <v>0</v>
      </c>
      <c r="K52" s="4">
        <f t="shared" si="4"/>
        <v>0</v>
      </c>
    </row>
    <row r="53" spans="1:13">
      <c r="B53" s="5" t="s">
        <v>60</v>
      </c>
      <c r="D53" s="6" t="s">
        <v>61</v>
      </c>
      <c r="G53" s="5" t="s">
        <v>22</v>
      </c>
      <c r="H53" s="4">
        <v>1.95</v>
      </c>
      <c r="I53" s="5">
        <v>1</v>
      </c>
      <c r="J53" s="5">
        <v>6</v>
      </c>
      <c r="K53" s="4">
        <f t="shared" si="4"/>
        <v>11.7</v>
      </c>
    </row>
    <row r="54" spans="1:13">
      <c r="B54" s="5" t="s">
        <v>156</v>
      </c>
      <c r="C54" s="5" t="s">
        <v>79</v>
      </c>
      <c r="D54" s="6" t="s">
        <v>80</v>
      </c>
      <c r="G54" s="5" t="s">
        <v>22</v>
      </c>
      <c r="H54" s="4">
        <v>1.95</v>
      </c>
      <c r="I54" s="5">
        <v>1</v>
      </c>
      <c r="J54" s="5">
        <v>0</v>
      </c>
      <c r="K54" s="4">
        <f t="shared" si="4"/>
        <v>0</v>
      </c>
    </row>
    <row r="55" spans="1:13" ht="25.5">
      <c r="B55" s="5" t="s">
        <v>202</v>
      </c>
      <c r="C55" s="5" t="s">
        <v>205</v>
      </c>
      <c r="D55" s="6" t="s">
        <v>206</v>
      </c>
      <c r="E55" s="5" t="s">
        <v>203</v>
      </c>
      <c r="G55" s="5" t="s">
        <v>204</v>
      </c>
      <c r="H55" s="4">
        <v>5</v>
      </c>
      <c r="I55" s="5">
        <v>1</v>
      </c>
      <c r="J55" s="5">
        <v>8</v>
      </c>
      <c r="K55" s="4">
        <f t="shared" si="4"/>
        <v>40</v>
      </c>
    </row>
    <row r="56" spans="1:13">
      <c r="B56" s="5" t="s">
        <v>196</v>
      </c>
      <c r="C56" s="5" t="s">
        <v>83</v>
      </c>
      <c r="D56" s="6" t="s">
        <v>84</v>
      </c>
      <c r="G56" s="5" t="s">
        <v>22</v>
      </c>
      <c r="H56" s="4">
        <v>79.95</v>
      </c>
      <c r="I56" s="5">
        <v>1</v>
      </c>
      <c r="J56" s="5">
        <v>0</v>
      </c>
      <c r="K56" s="4">
        <f t="shared" si="4"/>
        <v>0</v>
      </c>
    </row>
    <row r="58" spans="1:13" ht="16.5" customHeight="1">
      <c r="A58" s="5" t="s">
        <v>235</v>
      </c>
    </row>
    <row r="59" spans="1:13">
      <c r="B59" s="5" t="s">
        <v>28</v>
      </c>
      <c r="D59" s="6" t="s">
        <v>29</v>
      </c>
      <c r="G59" s="5" t="s">
        <v>22</v>
      </c>
      <c r="H59" s="4">
        <v>24.95</v>
      </c>
      <c r="I59" s="5">
        <v>1</v>
      </c>
      <c r="J59" s="5">
        <v>0</v>
      </c>
      <c r="K59" s="4">
        <f>H59*J59</f>
        <v>0</v>
      </c>
    </row>
    <row r="60" spans="1:13" ht="25.5">
      <c r="B60" s="5" t="s">
        <v>166</v>
      </c>
      <c r="C60" s="5" t="s">
        <v>93</v>
      </c>
      <c r="D60" s="6" t="s">
        <v>94</v>
      </c>
      <c r="G60" s="5" t="s">
        <v>22</v>
      </c>
      <c r="H60" s="4">
        <v>9.9499999999999993</v>
      </c>
      <c r="I60" s="5">
        <v>2</v>
      </c>
      <c r="J60" s="5">
        <v>1</v>
      </c>
      <c r="K60" s="4">
        <f>H60*J60</f>
        <v>9.9499999999999993</v>
      </c>
    </row>
    <row r="61" spans="1:13" ht="25.5">
      <c r="B61" s="5" t="s">
        <v>28</v>
      </c>
      <c r="C61" s="5" t="s">
        <v>146</v>
      </c>
      <c r="D61" s="6" t="s">
        <v>152</v>
      </c>
      <c r="G61" s="5" t="s">
        <v>22</v>
      </c>
      <c r="H61" s="4">
        <v>24.95</v>
      </c>
      <c r="I61" s="5">
        <v>1</v>
      </c>
      <c r="J61" s="5">
        <v>0</v>
      </c>
      <c r="K61" s="4">
        <f t="shared" ref="K61" si="5">H61*J61</f>
        <v>0</v>
      </c>
    </row>
    <row r="63" spans="1:13" ht="14.25" customHeight="1">
      <c r="A63" s="5" t="s">
        <v>241</v>
      </c>
    </row>
    <row r="64" spans="1:13">
      <c r="B64" s="5" t="s">
        <v>154</v>
      </c>
      <c r="C64" s="5" t="s">
        <v>73</v>
      </c>
      <c r="G64" s="5" t="s">
        <v>22</v>
      </c>
      <c r="H64" s="4">
        <v>89.95</v>
      </c>
      <c r="I64" s="5">
        <v>1</v>
      </c>
      <c r="J64" s="5">
        <v>0</v>
      </c>
      <c r="K64" s="4">
        <f>H64*J64</f>
        <v>0</v>
      </c>
      <c r="M64" s="5" t="s">
        <v>207</v>
      </c>
    </row>
    <row r="65" spans="1:13">
      <c r="C65" s="5" t="s">
        <v>74</v>
      </c>
      <c r="J65" s="5">
        <v>0</v>
      </c>
      <c r="K65" s="4">
        <f>H65*J65</f>
        <v>0</v>
      </c>
      <c r="M65" s="5" t="s">
        <v>208</v>
      </c>
    </row>
    <row r="66" spans="1:13">
      <c r="B66" s="5" t="s">
        <v>155</v>
      </c>
      <c r="C66" s="5" t="s">
        <v>75</v>
      </c>
      <c r="G66" s="5" t="s">
        <v>22</v>
      </c>
      <c r="H66" s="4">
        <v>79.95</v>
      </c>
      <c r="I66" s="5">
        <v>1</v>
      </c>
      <c r="J66" s="5">
        <v>0</v>
      </c>
      <c r="K66" s="4">
        <f>H66*J66</f>
        <v>0</v>
      </c>
    </row>
    <row r="67" spans="1:13" ht="14.25" customHeight="1"/>
    <row r="68" spans="1:13" ht="14.25" customHeight="1">
      <c r="A68" t="s">
        <v>244</v>
      </c>
    </row>
    <row r="69" spans="1:13" ht="14.25" customHeight="1">
      <c r="C69" t="s">
        <v>246</v>
      </c>
    </row>
    <row r="70" spans="1:13" ht="14.25" customHeight="1">
      <c r="C70" s="5" t="s">
        <v>245</v>
      </c>
    </row>
    <row r="71" spans="1:13">
      <c r="A71" s="5" t="s">
        <v>232</v>
      </c>
    </row>
    <row r="72" spans="1:13">
      <c r="B72" s="5" t="s">
        <v>55</v>
      </c>
      <c r="C72" s="5" t="s">
        <v>89</v>
      </c>
      <c r="D72" s="6" t="s">
        <v>90</v>
      </c>
      <c r="G72" s="5" t="s">
        <v>22</v>
      </c>
      <c r="H72" s="4">
        <v>19.95</v>
      </c>
      <c r="I72" s="5">
        <v>1</v>
      </c>
      <c r="J72" s="5">
        <v>4</v>
      </c>
      <c r="K72" s="4">
        <f>H72*J72</f>
        <v>79.8</v>
      </c>
      <c r="M72" s="5" t="s">
        <v>209</v>
      </c>
    </row>
    <row r="73" spans="1:13" ht="16.5" customHeight="1">
      <c r="B73" s="5" t="s">
        <v>158</v>
      </c>
      <c r="C73" s="5" t="s">
        <v>81</v>
      </c>
      <c r="D73" s="6" t="s">
        <v>82</v>
      </c>
      <c r="G73" s="5" t="s">
        <v>22</v>
      </c>
      <c r="H73" s="4">
        <v>29.95</v>
      </c>
      <c r="I73" s="5">
        <v>2</v>
      </c>
      <c r="J73" s="5">
        <v>0</v>
      </c>
      <c r="K73" s="4">
        <f>H73*J73</f>
        <v>0</v>
      </c>
    </row>
    <row r="75" spans="1:13">
      <c r="A75" s="5" t="s">
        <v>234</v>
      </c>
    </row>
    <row r="76" spans="1:13">
      <c r="B76" s="5" t="s">
        <v>15</v>
      </c>
      <c r="D76" s="6" t="s">
        <v>16</v>
      </c>
      <c r="E76" s="5" t="s">
        <v>17</v>
      </c>
      <c r="G76" s="5" t="s">
        <v>18</v>
      </c>
      <c r="H76" s="4">
        <v>9.9499999999999993</v>
      </c>
      <c r="I76" s="5">
        <v>100</v>
      </c>
      <c r="J76" s="5">
        <v>0</v>
      </c>
      <c r="K76" s="4">
        <f t="shared" ref="K76:K91" si="6">H76*J76</f>
        <v>0</v>
      </c>
    </row>
    <row r="77" spans="1:13">
      <c r="B77" s="5" t="s">
        <v>19</v>
      </c>
      <c r="D77" s="6" t="s">
        <v>20</v>
      </c>
      <c r="E77" s="5" t="s">
        <v>21</v>
      </c>
      <c r="G77" s="5" t="s">
        <v>22</v>
      </c>
      <c r="H77" s="4">
        <v>9.9499999999999993</v>
      </c>
      <c r="I77" s="5">
        <v>100</v>
      </c>
      <c r="J77" s="5">
        <v>0</v>
      </c>
      <c r="K77" s="4">
        <f t="shared" si="6"/>
        <v>0</v>
      </c>
    </row>
    <row r="78" spans="1:13">
      <c r="B78" s="5" t="s">
        <v>25</v>
      </c>
      <c r="D78" s="6" t="s">
        <v>26</v>
      </c>
      <c r="E78" s="5" t="s">
        <v>27</v>
      </c>
      <c r="G78" s="5" t="s">
        <v>22</v>
      </c>
      <c r="H78" s="4">
        <v>8.9499999999999993</v>
      </c>
      <c r="I78" s="5">
        <v>50</v>
      </c>
      <c r="J78" s="5">
        <v>0</v>
      </c>
      <c r="K78" s="4">
        <f t="shared" si="6"/>
        <v>0</v>
      </c>
    </row>
    <row r="79" spans="1:13">
      <c r="B79" s="5" t="s">
        <v>23</v>
      </c>
      <c r="C79" s="5" t="s">
        <v>130</v>
      </c>
      <c r="D79" s="6" t="s">
        <v>131</v>
      </c>
      <c r="G79" s="5" t="s">
        <v>22</v>
      </c>
      <c r="H79" s="4">
        <v>2.95</v>
      </c>
      <c r="I79" s="5">
        <v>100</v>
      </c>
      <c r="J79" s="5">
        <v>0</v>
      </c>
      <c r="K79" s="4">
        <f>H79*J79</f>
        <v>0</v>
      </c>
    </row>
    <row r="80" spans="1:13">
      <c r="B80" s="5" t="s">
        <v>185</v>
      </c>
      <c r="C80" s="5" t="s">
        <v>132</v>
      </c>
      <c r="D80" s="6" t="s">
        <v>133</v>
      </c>
      <c r="G80" s="5" t="s">
        <v>22</v>
      </c>
      <c r="H80" s="4">
        <v>9.9499999999999993</v>
      </c>
      <c r="I80" s="5">
        <v>100</v>
      </c>
      <c r="J80" s="5">
        <v>0</v>
      </c>
      <c r="K80" s="4">
        <f>H80*J80</f>
        <v>0</v>
      </c>
    </row>
    <row r="81" spans="1:12" ht="17.25" customHeight="1">
      <c r="B81" s="5" t="s">
        <v>184</v>
      </c>
      <c r="C81" s="5" t="s">
        <v>134</v>
      </c>
      <c r="D81" s="6" t="s">
        <v>135</v>
      </c>
      <c r="G81" s="5" t="s">
        <v>22</v>
      </c>
      <c r="H81" s="4">
        <v>9.9499999999999993</v>
      </c>
      <c r="I81" s="5">
        <v>100</v>
      </c>
      <c r="J81" s="5">
        <v>0</v>
      </c>
      <c r="K81" s="4">
        <f>H81*J81</f>
        <v>0</v>
      </c>
    </row>
    <row r="82" spans="1:12">
      <c r="B82" s="5" t="s">
        <v>190</v>
      </c>
      <c r="C82" s="5" t="s">
        <v>144</v>
      </c>
      <c r="D82" s="6" t="s">
        <v>148</v>
      </c>
      <c r="G82" s="5" t="s">
        <v>22</v>
      </c>
      <c r="H82" s="4">
        <v>8.9499999999999993</v>
      </c>
      <c r="I82" s="5">
        <v>50</v>
      </c>
      <c r="J82" s="5">
        <v>0</v>
      </c>
      <c r="K82" s="4">
        <f>H82*J82</f>
        <v>0</v>
      </c>
    </row>
    <row r="85" spans="1:12">
      <c r="A85" s="5" t="s">
        <v>237</v>
      </c>
    </row>
    <row r="86" spans="1:12">
      <c r="B86" s="5" t="s">
        <v>44</v>
      </c>
      <c r="C86" s="5" t="s">
        <v>91</v>
      </c>
      <c r="D86" s="6" t="s">
        <v>92</v>
      </c>
      <c r="E86" s="5" t="s">
        <v>242</v>
      </c>
      <c r="G86" s="5" t="s">
        <v>22</v>
      </c>
      <c r="H86" s="4">
        <v>49.95</v>
      </c>
      <c r="I86" s="5">
        <v>1</v>
      </c>
      <c r="J86" s="5">
        <v>1</v>
      </c>
      <c r="K86" s="4">
        <f>H86*J86</f>
        <v>49.95</v>
      </c>
    </row>
    <row r="87" spans="1:12">
      <c r="B87" s="5" t="s">
        <v>159</v>
      </c>
      <c r="C87" s="5" t="s">
        <v>85</v>
      </c>
      <c r="D87" s="6" t="s">
        <v>86</v>
      </c>
      <c r="G87" s="5" t="s">
        <v>22</v>
      </c>
      <c r="H87" s="4">
        <v>5.95</v>
      </c>
      <c r="I87" s="5">
        <v>1</v>
      </c>
      <c r="J87" s="5">
        <v>2</v>
      </c>
      <c r="K87" s="4">
        <f>H87*J87</f>
        <v>11.9</v>
      </c>
      <c r="L87" s="11"/>
    </row>
    <row r="88" spans="1:12">
      <c r="B88" s="5" t="s">
        <v>163</v>
      </c>
      <c r="C88" s="5" t="s">
        <v>161</v>
      </c>
      <c r="D88" s="6" t="s">
        <v>162</v>
      </c>
      <c r="G88" s="5" t="s">
        <v>22</v>
      </c>
      <c r="H88" s="4">
        <v>24.95</v>
      </c>
      <c r="I88" s="5">
        <v>1</v>
      </c>
      <c r="J88" s="5">
        <v>1</v>
      </c>
      <c r="K88" s="4">
        <f>H88*J88</f>
        <v>24.95</v>
      </c>
    </row>
    <row r="90" spans="1:12">
      <c r="A90" s="5" t="s">
        <v>238</v>
      </c>
    </row>
    <row r="91" spans="1:12">
      <c r="B91" s="5" t="s">
        <v>47</v>
      </c>
      <c r="D91" s="6" t="s">
        <v>48</v>
      </c>
      <c r="E91" s="5" t="s">
        <v>49</v>
      </c>
      <c r="G91" s="5" t="s">
        <v>22</v>
      </c>
      <c r="H91" s="4">
        <v>0.95</v>
      </c>
      <c r="I91" s="5" t="s">
        <v>50</v>
      </c>
      <c r="J91" s="5">
        <v>16</v>
      </c>
      <c r="K91" s="4">
        <f t="shared" si="6"/>
        <v>15.2</v>
      </c>
    </row>
    <row r="92" spans="1:12">
      <c r="B92" s="5" t="s">
        <v>51</v>
      </c>
      <c r="D92" s="6" t="s">
        <v>52</v>
      </c>
      <c r="G92" s="5" t="s">
        <v>22</v>
      </c>
      <c r="H92" s="4">
        <v>16.95</v>
      </c>
      <c r="I92" s="5">
        <v>1</v>
      </c>
      <c r="J92" s="5">
        <v>0</v>
      </c>
      <c r="K92" s="4">
        <f>H92*J92</f>
        <v>0</v>
      </c>
    </row>
    <row r="94" spans="1:12">
      <c r="A94" s="5" t="s">
        <v>239</v>
      </c>
    </row>
    <row r="95" spans="1:12">
      <c r="B95" s="5" t="s">
        <v>62</v>
      </c>
      <c r="D95" s="6" t="s">
        <v>63</v>
      </c>
      <c r="E95" s="5">
        <v>346</v>
      </c>
      <c r="G95" s="5" t="s">
        <v>64</v>
      </c>
      <c r="H95" s="4">
        <v>27.17</v>
      </c>
      <c r="I95" s="5" t="s">
        <v>65</v>
      </c>
      <c r="J95" s="5">
        <v>1</v>
      </c>
      <c r="K95" s="4">
        <f>H95*J95</f>
        <v>27.17</v>
      </c>
    </row>
    <row r="96" spans="1:12">
      <c r="B96" s="5" t="s">
        <v>66</v>
      </c>
      <c r="D96" s="6" t="s">
        <v>67</v>
      </c>
      <c r="E96" s="5">
        <v>693</v>
      </c>
      <c r="G96" s="5" t="s">
        <v>64</v>
      </c>
      <c r="H96" s="4">
        <v>12.77</v>
      </c>
      <c r="I96" s="5" t="s">
        <v>68</v>
      </c>
      <c r="J96" s="5">
        <v>0</v>
      </c>
      <c r="K96" s="4">
        <f>H96*J96</f>
        <v>0</v>
      </c>
    </row>
    <row r="97" spans="2:11">
      <c r="B97" s="5" t="s">
        <v>69</v>
      </c>
      <c r="D97" s="6" t="s">
        <v>70</v>
      </c>
      <c r="E97" s="5" t="s">
        <v>71</v>
      </c>
      <c r="G97" s="5" t="s">
        <v>72</v>
      </c>
      <c r="H97" s="4">
        <v>1.52</v>
      </c>
      <c r="I97" s="5">
        <v>1</v>
      </c>
      <c r="J97" s="5">
        <v>8</v>
      </c>
      <c r="K97" s="4">
        <f>H97*J97</f>
        <v>12.16</v>
      </c>
    </row>
    <row r="100" spans="2:11">
      <c r="B100" s="5" t="s">
        <v>188</v>
      </c>
      <c r="C100" s="7" t="s">
        <v>140</v>
      </c>
      <c r="D100" s="6" t="s">
        <v>141</v>
      </c>
      <c r="G100" s="5" t="s">
        <v>22</v>
      </c>
      <c r="H100" s="4">
        <v>3.95</v>
      </c>
      <c r="I100" s="5">
        <v>12</v>
      </c>
      <c r="J100" s="5">
        <v>1</v>
      </c>
      <c r="K100" s="4">
        <f>H100*J100</f>
        <v>3.95</v>
      </c>
    </row>
    <row r="101" spans="2:11">
      <c r="B101" s="5" t="s">
        <v>189</v>
      </c>
      <c r="C101" s="5" t="s">
        <v>142</v>
      </c>
      <c r="D101" s="6" t="s">
        <v>143</v>
      </c>
      <c r="G101" s="5" t="s">
        <v>22</v>
      </c>
      <c r="H101" s="4">
        <v>4.95</v>
      </c>
      <c r="I101" s="5">
        <v>12</v>
      </c>
      <c r="J101" s="5">
        <v>1</v>
      </c>
      <c r="K101" s="4">
        <f>H101*J101</f>
        <v>4.95</v>
      </c>
    </row>
    <row r="102" spans="2:11">
      <c r="B102" s="5" t="s">
        <v>182</v>
      </c>
      <c r="C102" s="5" t="s">
        <v>126</v>
      </c>
      <c r="D102" s="6" t="s">
        <v>127</v>
      </c>
      <c r="G102" s="5" t="s">
        <v>22</v>
      </c>
      <c r="H102" s="4">
        <v>13.95</v>
      </c>
      <c r="I102" s="5">
        <v>12</v>
      </c>
      <c r="J102" s="5">
        <v>0</v>
      </c>
      <c r="K102" s="4">
        <f>H102*J102</f>
        <v>0</v>
      </c>
    </row>
    <row r="103" spans="2:11">
      <c r="B103" s="5" t="s">
        <v>191</v>
      </c>
      <c r="C103" s="5" t="s">
        <v>145</v>
      </c>
      <c r="D103" s="6" t="s">
        <v>149</v>
      </c>
      <c r="G103" s="5" t="s">
        <v>22</v>
      </c>
      <c r="H103" s="4">
        <v>12</v>
      </c>
      <c r="I103" s="5">
        <v>12</v>
      </c>
      <c r="J103" s="5">
        <v>0</v>
      </c>
      <c r="K103" s="4">
        <f>H103*J103</f>
        <v>0</v>
      </c>
    </row>
    <row r="106" spans="2:11">
      <c r="K106" s="4">
        <f>SUM(K2:K105)</f>
        <v>1113.4800000000005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N85"/>
  <sheetViews>
    <sheetView zoomScale="130" zoomScaleNormal="130" workbookViewId="0">
      <pane ySplit="780" topLeftCell="A70" activePane="bottomLeft"/>
      <selection activeCell="B2" sqref="B2"/>
      <selection pane="bottomLeft" activeCell="J87" sqref="J87:J88"/>
    </sheetView>
  </sheetViews>
  <sheetFormatPr defaultRowHeight="12.75"/>
  <cols>
    <col min="1" max="1" width="16" customWidth="1"/>
    <col min="2" max="2" width="28.28515625" customWidth="1"/>
    <col min="3" max="3" width="26.28515625" style="3" customWidth="1"/>
    <col min="4" max="4" width="11.7109375" customWidth="1"/>
    <col min="5" max="5" width="6" customWidth="1"/>
    <col min="6" max="6" width="13" customWidth="1"/>
    <col min="7" max="7" width="9" style="1" customWidth="1"/>
    <col min="8" max="8" width="12.42578125" customWidth="1"/>
    <col min="9" max="9" width="8.85546875" customWidth="1"/>
    <col min="10" max="10" width="9.140625" style="1"/>
  </cols>
  <sheetData>
    <row r="1" spans="1:14">
      <c r="A1" t="s">
        <v>0</v>
      </c>
      <c r="B1" t="s">
        <v>76</v>
      </c>
      <c r="C1" s="3" t="s">
        <v>1</v>
      </c>
      <c r="D1" t="s">
        <v>2</v>
      </c>
      <c r="E1" t="s">
        <v>3</v>
      </c>
      <c r="F1" t="s">
        <v>4</v>
      </c>
      <c r="G1" s="1" t="s">
        <v>5</v>
      </c>
      <c r="H1" t="s">
        <v>6</v>
      </c>
      <c r="I1" t="s">
        <v>7</v>
      </c>
      <c r="J1" s="1" t="s">
        <v>8</v>
      </c>
    </row>
    <row r="2" spans="1:14">
      <c r="A2" t="s">
        <v>9</v>
      </c>
      <c r="C2" s="3" t="s">
        <v>10</v>
      </c>
      <c r="D2" t="s">
        <v>11</v>
      </c>
      <c r="F2" t="s">
        <v>12</v>
      </c>
      <c r="G2" s="1">
        <v>17.95</v>
      </c>
      <c r="H2">
        <v>1</v>
      </c>
      <c r="I2">
        <v>0</v>
      </c>
      <c r="J2" s="1">
        <f>G2*I2</f>
        <v>0</v>
      </c>
      <c r="L2">
        <f>416/25</f>
        <v>16.64</v>
      </c>
      <c r="M2">
        <v>416</v>
      </c>
      <c r="N2">
        <f>M2/25</f>
        <v>16.64</v>
      </c>
    </row>
    <row r="4" spans="1:14">
      <c r="A4" t="s">
        <v>13</v>
      </c>
      <c r="C4" s="3" t="s">
        <v>14</v>
      </c>
      <c r="F4" t="s">
        <v>12</v>
      </c>
      <c r="G4" s="1">
        <v>4.95</v>
      </c>
      <c r="H4">
        <v>2</v>
      </c>
      <c r="I4">
        <v>4</v>
      </c>
      <c r="J4" s="1">
        <f t="shared" ref="J4:J25" si="0">G4*I4</f>
        <v>19.8</v>
      </c>
      <c r="K4" s="8"/>
      <c r="M4">
        <v>288</v>
      </c>
      <c r="N4">
        <f>M4/25</f>
        <v>11.52</v>
      </c>
    </row>
    <row r="5" spans="1:14">
      <c r="A5" t="s">
        <v>15</v>
      </c>
      <c r="C5" s="3" t="s">
        <v>16</v>
      </c>
      <c r="D5" t="s">
        <v>17</v>
      </c>
      <c r="F5" t="s">
        <v>18</v>
      </c>
      <c r="G5" s="1">
        <v>9.9499999999999993</v>
      </c>
      <c r="H5">
        <v>100</v>
      </c>
      <c r="I5">
        <v>0</v>
      </c>
      <c r="J5" s="1">
        <f t="shared" si="0"/>
        <v>0</v>
      </c>
    </row>
    <row r="6" spans="1:14">
      <c r="A6" t="s">
        <v>19</v>
      </c>
      <c r="C6" s="3" t="s">
        <v>20</v>
      </c>
      <c r="D6" t="s">
        <v>21</v>
      </c>
      <c r="F6" t="s">
        <v>22</v>
      </c>
      <c r="G6" s="1">
        <v>9.9499999999999993</v>
      </c>
      <c r="H6">
        <v>100</v>
      </c>
      <c r="I6">
        <v>0</v>
      </c>
      <c r="J6" s="1">
        <f t="shared" si="0"/>
        <v>0</v>
      </c>
    </row>
    <row r="7" spans="1:14">
      <c r="A7" t="s">
        <v>23</v>
      </c>
      <c r="C7" s="3" t="s">
        <v>24</v>
      </c>
      <c r="F7" t="s">
        <v>22</v>
      </c>
      <c r="G7" s="1">
        <v>2.95</v>
      </c>
      <c r="H7">
        <v>100</v>
      </c>
      <c r="I7">
        <v>0</v>
      </c>
      <c r="J7" s="1">
        <f t="shared" si="0"/>
        <v>0</v>
      </c>
    </row>
    <row r="8" spans="1:14">
      <c r="A8" t="s">
        <v>25</v>
      </c>
      <c r="C8" s="3" t="s">
        <v>26</v>
      </c>
      <c r="D8" t="s">
        <v>27</v>
      </c>
      <c r="F8" t="s">
        <v>22</v>
      </c>
      <c r="G8" s="1">
        <v>8.9499999999999993</v>
      </c>
      <c r="H8">
        <v>50</v>
      </c>
      <c r="I8">
        <v>0</v>
      </c>
      <c r="J8" s="1">
        <f t="shared" si="0"/>
        <v>0</v>
      </c>
    </row>
    <row r="9" spans="1:14">
      <c r="A9" t="s">
        <v>28</v>
      </c>
      <c r="C9" s="3" t="s">
        <v>29</v>
      </c>
      <c r="F9" t="s">
        <v>22</v>
      </c>
      <c r="G9" s="1">
        <v>24.95</v>
      </c>
      <c r="H9">
        <v>1</v>
      </c>
      <c r="I9">
        <v>0</v>
      </c>
      <c r="J9" s="1">
        <f t="shared" si="0"/>
        <v>0</v>
      </c>
    </row>
    <row r="10" spans="1:14">
      <c r="A10" t="s">
        <v>30</v>
      </c>
      <c r="C10" s="3" t="s">
        <v>31</v>
      </c>
      <c r="D10" t="s">
        <v>32</v>
      </c>
      <c r="F10" t="s">
        <v>22</v>
      </c>
      <c r="G10" s="1">
        <v>6.95</v>
      </c>
      <c r="H10">
        <v>2</v>
      </c>
      <c r="I10">
        <v>0</v>
      </c>
      <c r="J10" s="1">
        <f t="shared" si="0"/>
        <v>0</v>
      </c>
    </row>
    <row r="11" spans="1:14">
      <c r="A11" t="s">
        <v>33</v>
      </c>
      <c r="C11" s="3" t="s">
        <v>32</v>
      </c>
      <c r="D11" t="s">
        <v>35</v>
      </c>
      <c r="F11" t="s">
        <v>22</v>
      </c>
      <c r="G11" s="1">
        <v>15.95</v>
      </c>
      <c r="H11">
        <v>6</v>
      </c>
      <c r="I11">
        <v>0</v>
      </c>
      <c r="J11" s="1">
        <f t="shared" si="0"/>
        <v>0</v>
      </c>
    </row>
    <row r="12" spans="1:14">
      <c r="A12" t="s">
        <v>36</v>
      </c>
      <c r="C12" s="3" t="s">
        <v>32</v>
      </c>
      <c r="D12" t="s">
        <v>37</v>
      </c>
      <c r="F12" t="s">
        <v>22</v>
      </c>
      <c r="G12" s="1">
        <v>15.95</v>
      </c>
      <c r="H12">
        <v>3</v>
      </c>
      <c r="I12">
        <v>0</v>
      </c>
      <c r="J12" s="1">
        <f t="shared" si="0"/>
        <v>0</v>
      </c>
    </row>
    <row r="13" spans="1:14">
      <c r="A13" t="s">
        <v>38</v>
      </c>
      <c r="C13" s="3" t="s">
        <v>39</v>
      </c>
      <c r="D13" t="s">
        <v>40</v>
      </c>
      <c r="F13" t="s">
        <v>22</v>
      </c>
      <c r="G13" s="1">
        <v>5.95</v>
      </c>
      <c r="H13">
        <v>2</v>
      </c>
      <c r="I13">
        <v>0</v>
      </c>
      <c r="J13" s="1">
        <f t="shared" si="0"/>
        <v>0</v>
      </c>
    </row>
    <row r="14" spans="1:14">
      <c r="A14" t="s">
        <v>41</v>
      </c>
      <c r="C14" s="3" t="s">
        <v>42</v>
      </c>
      <c r="F14" t="s">
        <v>22</v>
      </c>
      <c r="G14" s="1">
        <v>13.95</v>
      </c>
      <c r="H14" t="s">
        <v>43</v>
      </c>
      <c r="I14">
        <v>1</v>
      </c>
      <c r="J14" s="1">
        <f t="shared" si="0"/>
        <v>13.95</v>
      </c>
      <c r="K14" s="8"/>
    </row>
    <row r="15" spans="1:14">
      <c r="A15" t="s">
        <v>44</v>
      </c>
      <c r="C15" s="3" t="s">
        <v>45</v>
      </c>
      <c r="D15" t="s">
        <v>46</v>
      </c>
      <c r="F15" t="s">
        <v>22</v>
      </c>
      <c r="G15" s="1">
        <v>49.95</v>
      </c>
      <c r="H15">
        <v>1</v>
      </c>
      <c r="I15">
        <v>0</v>
      </c>
      <c r="J15" s="1">
        <f t="shared" si="0"/>
        <v>0</v>
      </c>
    </row>
    <row r="16" spans="1:14">
      <c r="A16" t="s">
        <v>47</v>
      </c>
      <c r="C16" s="3" t="s">
        <v>48</v>
      </c>
      <c r="D16" t="s">
        <v>49</v>
      </c>
      <c r="F16" t="s">
        <v>22</v>
      </c>
      <c r="G16" s="1">
        <v>0.95</v>
      </c>
      <c r="H16" t="s">
        <v>50</v>
      </c>
      <c r="I16">
        <v>16</v>
      </c>
      <c r="J16" s="1">
        <f t="shared" si="0"/>
        <v>15.2</v>
      </c>
      <c r="K16" s="8"/>
    </row>
    <row r="17" spans="1:12">
      <c r="A17" t="s">
        <v>51</v>
      </c>
      <c r="C17" s="3" t="s">
        <v>52</v>
      </c>
      <c r="F17" t="s">
        <v>22</v>
      </c>
      <c r="G17" s="1">
        <v>16.95</v>
      </c>
      <c r="H17">
        <v>1</v>
      </c>
      <c r="I17">
        <v>0</v>
      </c>
      <c r="J17" s="1">
        <f t="shared" si="0"/>
        <v>0</v>
      </c>
    </row>
    <row r="18" spans="1:12">
      <c r="C18" s="3" t="s">
        <v>53</v>
      </c>
      <c r="F18" t="s">
        <v>22</v>
      </c>
      <c r="J18" s="1">
        <f t="shared" si="0"/>
        <v>0</v>
      </c>
    </row>
    <row r="19" spans="1:12">
      <c r="C19" s="3" t="s">
        <v>54</v>
      </c>
      <c r="F19" t="s">
        <v>22</v>
      </c>
      <c r="J19" s="1">
        <f t="shared" si="0"/>
        <v>0</v>
      </c>
    </row>
    <row r="20" spans="1:12">
      <c r="A20" t="s">
        <v>55</v>
      </c>
      <c r="C20" s="3" t="s">
        <v>56</v>
      </c>
      <c r="D20" t="s">
        <v>57</v>
      </c>
      <c r="F20" t="s">
        <v>22</v>
      </c>
      <c r="G20" s="1">
        <v>19.95</v>
      </c>
      <c r="H20">
        <v>1</v>
      </c>
      <c r="I20">
        <v>0</v>
      </c>
      <c r="J20" s="1">
        <f t="shared" si="0"/>
        <v>0</v>
      </c>
    </row>
    <row r="21" spans="1:12">
      <c r="A21" t="s">
        <v>58</v>
      </c>
      <c r="C21" s="3" t="s">
        <v>59</v>
      </c>
      <c r="F21" t="s">
        <v>22</v>
      </c>
      <c r="G21" s="1">
        <v>15.95</v>
      </c>
      <c r="H21">
        <v>1</v>
      </c>
      <c r="I21">
        <v>0</v>
      </c>
      <c r="J21" s="1">
        <f t="shared" si="0"/>
        <v>0</v>
      </c>
    </row>
    <row r="22" spans="1:12">
      <c r="A22" t="s">
        <v>60</v>
      </c>
      <c r="C22" s="3" t="s">
        <v>61</v>
      </c>
      <c r="F22" t="s">
        <v>22</v>
      </c>
      <c r="G22" s="1">
        <v>1.95</v>
      </c>
      <c r="H22">
        <v>1</v>
      </c>
      <c r="I22">
        <v>6</v>
      </c>
      <c r="J22" s="1">
        <f t="shared" si="0"/>
        <v>11.7</v>
      </c>
      <c r="K22" s="8"/>
    </row>
    <row r="23" spans="1:12">
      <c r="A23" t="s">
        <v>62</v>
      </c>
      <c r="C23" s="3" t="s">
        <v>63</v>
      </c>
      <c r="D23">
        <v>346</v>
      </c>
      <c r="F23" t="s">
        <v>64</v>
      </c>
      <c r="G23" s="1">
        <v>27.17</v>
      </c>
      <c r="H23" t="s">
        <v>65</v>
      </c>
      <c r="I23">
        <v>1</v>
      </c>
      <c r="J23" s="1">
        <f t="shared" si="0"/>
        <v>27.17</v>
      </c>
      <c r="K23" s="8"/>
    </row>
    <row r="24" spans="1:12">
      <c r="A24" t="s">
        <v>66</v>
      </c>
      <c r="C24" s="3" t="s">
        <v>67</v>
      </c>
      <c r="D24">
        <v>693</v>
      </c>
      <c r="F24" t="s">
        <v>64</v>
      </c>
      <c r="G24" s="1">
        <v>12.77</v>
      </c>
      <c r="H24" t="s">
        <v>68</v>
      </c>
      <c r="I24">
        <v>0</v>
      </c>
      <c r="J24" s="1">
        <f t="shared" si="0"/>
        <v>0</v>
      </c>
    </row>
    <row r="25" spans="1:12">
      <c r="A25" t="s">
        <v>69</v>
      </c>
      <c r="C25" s="3" t="s">
        <v>70</v>
      </c>
      <c r="D25" t="s">
        <v>71</v>
      </c>
      <c r="F25" t="s">
        <v>72</v>
      </c>
      <c r="G25" s="1">
        <v>1.52</v>
      </c>
      <c r="H25">
        <v>1</v>
      </c>
      <c r="I25">
        <v>8</v>
      </c>
      <c r="J25" s="1">
        <f t="shared" si="0"/>
        <v>12.16</v>
      </c>
      <c r="K25" s="8"/>
    </row>
    <row r="28" spans="1:12">
      <c r="A28" t="s">
        <v>154</v>
      </c>
      <c r="B28" t="s">
        <v>73</v>
      </c>
      <c r="F28" t="s">
        <v>22</v>
      </c>
      <c r="G28" s="1">
        <v>89.95</v>
      </c>
      <c r="H28">
        <v>1</v>
      </c>
      <c r="I28">
        <v>0</v>
      </c>
      <c r="J28" s="1">
        <f t="shared" ref="J28:J84" si="1">G28*I28</f>
        <v>0</v>
      </c>
      <c r="L28" t="s">
        <v>207</v>
      </c>
    </row>
    <row r="29" spans="1:12">
      <c r="B29" t="s">
        <v>74</v>
      </c>
      <c r="I29">
        <v>0</v>
      </c>
      <c r="J29" s="1">
        <f t="shared" si="1"/>
        <v>0</v>
      </c>
      <c r="L29" t="s">
        <v>208</v>
      </c>
    </row>
    <row r="30" spans="1:12">
      <c r="A30" t="s">
        <v>155</v>
      </c>
      <c r="B30" t="s">
        <v>75</v>
      </c>
      <c r="F30" t="s">
        <v>22</v>
      </c>
      <c r="G30" s="1">
        <v>79.95</v>
      </c>
      <c r="H30">
        <v>1</v>
      </c>
      <c r="I30">
        <v>0</v>
      </c>
      <c r="J30" s="1">
        <f t="shared" si="1"/>
        <v>0</v>
      </c>
    </row>
    <row r="31" spans="1:12">
      <c r="A31" t="s">
        <v>157</v>
      </c>
      <c r="B31" t="s">
        <v>77</v>
      </c>
      <c r="C31" s="3" t="s">
        <v>78</v>
      </c>
      <c r="F31" t="s">
        <v>22</v>
      </c>
      <c r="G31" s="1">
        <v>27.95</v>
      </c>
      <c r="H31">
        <v>2</v>
      </c>
      <c r="I31">
        <v>1</v>
      </c>
      <c r="J31" s="1">
        <f t="shared" si="1"/>
        <v>27.95</v>
      </c>
      <c r="K31" s="8"/>
    </row>
    <row r="32" spans="1:12">
      <c r="A32" t="s">
        <v>156</v>
      </c>
      <c r="B32" t="s">
        <v>79</v>
      </c>
      <c r="C32" s="3" t="s">
        <v>80</v>
      </c>
      <c r="F32" t="s">
        <v>22</v>
      </c>
      <c r="G32" s="1">
        <v>1.95</v>
      </c>
      <c r="H32">
        <v>1</v>
      </c>
      <c r="I32">
        <v>0</v>
      </c>
      <c r="J32" s="1">
        <f t="shared" si="1"/>
        <v>0</v>
      </c>
    </row>
    <row r="33" spans="1:12" ht="25.5">
      <c r="A33" t="s">
        <v>158</v>
      </c>
      <c r="B33" t="s">
        <v>81</v>
      </c>
      <c r="C33" s="3" t="s">
        <v>82</v>
      </c>
      <c r="F33" t="s">
        <v>22</v>
      </c>
      <c r="G33" s="1">
        <v>29.95</v>
      </c>
      <c r="H33">
        <v>2</v>
      </c>
      <c r="I33">
        <v>0</v>
      </c>
      <c r="J33" s="1">
        <f t="shared" si="1"/>
        <v>0</v>
      </c>
    </row>
    <row r="34" spans="1:12">
      <c r="A34" t="s">
        <v>196</v>
      </c>
      <c r="B34" t="s">
        <v>83</v>
      </c>
      <c r="C34" s="3" t="s">
        <v>84</v>
      </c>
      <c r="F34" t="s">
        <v>22</v>
      </c>
      <c r="G34" s="1">
        <v>79.95</v>
      </c>
      <c r="H34">
        <v>1</v>
      </c>
      <c r="I34">
        <v>0</v>
      </c>
      <c r="J34" s="1">
        <f t="shared" si="1"/>
        <v>0</v>
      </c>
    </row>
    <row r="35" spans="1:12">
      <c r="A35" t="s">
        <v>159</v>
      </c>
      <c r="B35" t="s">
        <v>85</v>
      </c>
      <c r="C35" s="3" t="s">
        <v>86</v>
      </c>
      <c r="F35" t="s">
        <v>22</v>
      </c>
      <c r="G35" s="1">
        <v>5.95</v>
      </c>
      <c r="H35">
        <v>1</v>
      </c>
      <c r="I35">
        <v>2</v>
      </c>
      <c r="J35" s="1">
        <f t="shared" si="1"/>
        <v>11.9</v>
      </c>
      <c r="K35" s="8"/>
    </row>
    <row r="36" spans="1:12">
      <c r="A36" t="s">
        <v>160</v>
      </c>
      <c r="B36" t="s">
        <v>87</v>
      </c>
      <c r="C36" s="3" t="s">
        <v>88</v>
      </c>
      <c r="F36" t="s">
        <v>22</v>
      </c>
      <c r="G36" s="1">
        <v>22.95</v>
      </c>
      <c r="H36">
        <v>2</v>
      </c>
      <c r="I36">
        <v>0</v>
      </c>
      <c r="J36" s="1">
        <f t="shared" si="1"/>
        <v>0</v>
      </c>
    </row>
    <row r="37" spans="1:12">
      <c r="A37" t="s">
        <v>55</v>
      </c>
      <c r="B37" t="s">
        <v>89</v>
      </c>
      <c r="C37" s="3" t="s">
        <v>90</v>
      </c>
      <c r="F37" t="s">
        <v>22</v>
      </c>
      <c r="G37" s="1">
        <v>19.95</v>
      </c>
      <c r="H37">
        <v>1</v>
      </c>
      <c r="I37">
        <v>4</v>
      </c>
      <c r="J37" s="1">
        <f t="shared" si="1"/>
        <v>79.8</v>
      </c>
      <c r="K37" s="8"/>
      <c r="L37" t="s">
        <v>209</v>
      </c>
    </row>
    <row r="38" spans="1:12">
      <c r="A38" t="s">
        <v>44</v>
      </c>
      <c r="B38" t="s">
        <v>91</v>
      </c>
      <c r="C38" s="3" t="s">
        <v>92</v>
      </c>
      <c r="F38" t="s">
        <v>22</v>
      </c>
      <c r="G38" s="1">
        <v>49.95</v>
      </c>
      <c r="H38">
        <v>1</v>
      </c>
      <c r="I38">
        <v>1</v>
      </c>
      <c r="J38" s="1">
        <f t="shared" si="1"/>
        <v>49.95</v>
      </c>
      <c r="K38" s="8"/>
    </row>
    <row r="39" spans="1:12">
      <c r="A39" t="s">
        <v>163</v>
      </c>
      <c r="B39" t="s">
        <v>161</v>
      </c>
      <c r="C39" s="3" t="s">
        <v>162</v>
      </c>
      <c r="F39" t="s">
        <v>22</v>
      </c>
      <c r="G39" s="1">
        <v>24.95</v>
      </c>
      <c r="H39">
        <v>1</v>
      </c>
      <c r="I39">
        <v>1</v>
      </c>
      <c r="J39" s="1">
        <f t="shared" si="1"/>
        <v>24.95</v>
      </c>
      <c r="K39" s="8"/>
    </row>
    <row r="40" spans="1:12" ht="25.5">
      <c r="A40" t="s">
        <v>166</v>
      </c>
      <c r="B40" t="s">
        <v>93</v>
      </c>
      <c r="C40" s="3" t="s">
        <v>94</v>
      </c>
      <c r="F40" t="s">
        <v>22</v>
      </c>
      <c r="G40" s="1">
        <v>9.9499999999999993</v>
      </c>
      <c r="H40">
        <v>2</v>
      </c>
      <c r="I40">
        <v>1</v>
      </c>
      <c r="J40" s="1">
        <f t="shared" si="1"/>
        <v>9.9499999999999993</v>
      </c>
      <c r="K40" s="8"/>
    </row>
    <row r="41" spans="1:12">
      <c r="A41" t="s">
        <v>167</v>
      </c>
      <c r="B41" t="s">
        <v>95</v>
      </c>
      <c r="C41" s="3" t="s">
        <v>96</v>
      </c>
      <c r="F41" t="s">
        <v>22</v>
      </c>
      <c r="G41" s="1">
        <v>5.95</v>
      </c>
      <c r="H41">
        <v>2</v>
      </c>
      <c r="I41">
        <v>4</v>
      </c>
      <c r="J41" s="1">
        <f t="shared" si="1"/>
        <v>23.8</v>
      </c>
      <c r="K41" s="8"/>
    </row>
    <row r="42" spans="1:12">
      <c r="A42" t="s">
        <v>168</v>
      </c>
      <c r="B42" t="s">
        <v>97</v>
      </c>
      <c r="C42" s="3" t="s">
        <v>98</v>
      </c>
      <c r="F42" t="s">
        <v>22</v>
      </c>
      <c r="G42" s="1">
        <v>4.95</v>
      </c>
      <c r="H42">
        <v>2</v>
      </c>
      <c r="I42">
        <v>0</v>
      </c>
      <c r="J42" s="1">
        <f t="shared" si="1"/>
        <v>0</v>
      </c>
    </row>
    <row r="43" spans="1:12">
      <c r="A43" t="s">
        <v>169</v>
      </c>
      <c r="B43" t="s">
        <v>99</v>
      </c>
      <c r="C43" s="3" t="s">
        <v>100</v>
      </c>
      <c r="F43" t="s">
        <v>22</v>
      </c>
      <c r="G43" s="4">
        <v>9.9499999999999993</v>
      </c>
      <c r="H43">
        <v>2</v>
      </c>
      <c r="I43">
        <v>2</v>
      </c>
      <c r="J43" s="1">
        <f t="shared" si="1"/>
        <v>19.899999999999999</v>
      </c>
      <c r="K43" s="8"/>
    </row>
    <row r="44" spans="1:12">
      <c r="A44" t="s">
        <v>170</v>
      </c>
      <c r="B44" t="s">
        <v>101</v>
      </c>
      <c r="C44" s="3" t="s">
        <v>102</v>
      </c>
      <c r="F44" t="s">
        <v>22</v>
      </c>
      <c r="G44" s="1">
        <v>11.95</v>
      </c>
      <c r="H44">
        <v>2</v>
      </c>
      <c r="I44">
        <v>4</v>
      </c>
      <c r="J44" s="1">
        <f t="shared" si="1"/>
        <v>47.8</v>
      </c>
      <c r="K44" s="8"/>
    </row>
    <row r="45" spans="1:12">
      <c r="A45" t="s">
        <v>171</v>
      </c>
      <c r="B45" t="s">
        <v>103</v>
      </c>
      <c r="C45" s="3" t="s">
        <v>104</v>
      </c>
      <c r="F45" t="s">
        <v>22</v>
      </c>
      <c r="G45" s="1">
        <v>16.95</v>
      </c>
      <c r="H45">
        <v>2</v>
      </c>
      <c r="I45">
        <v>2</v>
      </c>
      <c r="J45" s="1">
        <f t="shared" si="1"/>
        <v>33.9</v>
      </c>
      <c r="K45" s="8"/>
    </row>
    <row r="46" spans="1:12">
      <c r="A46" t="s">
        <v>172</v>
      </c>
      <c r="B46" t="s">
        <v>105</v>
      </c>
      <c r="C46" s="3" t="s">
        <v>106</v>
      </c>
      <c r="F46" t="s">
        <v>22</v>
      </c>
      <c r="G46" s="1">
        <v>27.95</v>
      </c>
      <c r="H46">
        <v>2</v>
      </c>
      <c r="I46">
        <v>2</v>
      </c>
      <c r="J46" s="1">
        <f t="shared" si="1"/>
        <v>55.9</v>
      </c>
      <c r="K46" s="8"/>
    </row>
    <row r="47" spans="1:12">
      <c r="A47" t="s">
        <v>9</v>
      </c>
      <c r="B47" t="s">
        <v>107</v>
      </c>
      <c r="C47" s="3" t="s">
        <v>108</v>
      </c>
      <c r="F47" t="s">
        <v>22</v>
      </c>
      <c r="G47" s="1">
        <v>17.95</v>
      </c>
      <c r="H47">
        <v>1</v>
      </c>
      <c r="I47">
        <v>4</v>
      </c>
      <c r="J47" s="1">
        <f t="shared" si="1"/>
        <v>71.8</v>
      </c>
      <c r="K47" s="8"/>
    </row>
    <row r="48" spans="1:12">
      <c r="A48" t="s">
        <v>174</v>
      </c>
      <c r="B48" t="s">
        <v>109</v>
      </c>
      <c r="C48" s="3" t="s">
        <v>110</v>
      </c>
      <c r="F48" t="s">
        <v>22</v>
      </c>
      <c r="G48" s="1">
        <v>13.95</v>
      </c>
      <c r="H48">
        <v>2</v>
      </c>
      <c r="I48">
        <v>3</v>
      </c>
      <c r="J48" s="1">
        <f t="shared" si="1"/>
        <v>41.849999999999994</v>
      </c>
      <c r="K48" s="8"/>
    </row>
    <row r="49" spans="1:12">
      <c r="A49" t="s">
        <v>175</v>
      </c>
      <c r="B49" t="s">
        <v>111</v>
      </c>
      <c r="C49" s="3" t="s">
        <v>112</v>
      </c>
      <c r="F49" t="s">
        <v>22</v>
      </c>
      <c r="G49" s="1">
        <v>10.95</v>
      </c>
      <c r="H49">
        <v>2</v>
      </c>
      <c r="I49">
        <v>3</v>
      </c>
      <c r="J49" s="1">
        <f t="shared" si="1"/>
        <v>32.849999999999994</v>
      </c>
      <c r="K49" s="8"/>
    </row>
    <row r="50" spans="1:12">
      <c r="A50" t="s">
        <v>176</v>
      </c>
      <c r="B50" t="s">
        <v>113</v>
      </c>
      <c r="C50" s="3" t="s">
        <v>114</v>
      </c>
      <c r="F50" t="s">
        <v>22</v>
      </c>
      <c r="G50" s="1">
        <v>12.95</v>
      </c>
      <c r="H50">
        <v>2</v>
      </c>
      <c r="I50">
        <v>2</v>
      </c>
      <c r="J50" s="1">
        <f t="shared" si="1"/>
        <v>25.9</v>
      </c>
      <c r="K50" s="8"/>
    </row>
    <row r="51" spans="1:12">
      <c r="A51" s="1" t="s">
        <v>38</v>
      </c>
      <c r="B51" t="s">
        <v>115</v>
      </c>
      <c r="C51" s="3" t="s">
        <v>116</v>
      </c>
      <c r="F51" t="s">
        <v>22</v>
      </c>
      <c r="G51" s="1">
        <v>5.95</v>
      </c>
      <c r="H51">
        <v>2</v>
      </c>
      <c r="I51">
        <v>1</v>
      </c>
      <c r="J51" s="1">
        <f t="shared" si="1"/>
        <v>5.95</v>
      </c>
      <c r="K51" s="8"/>
    </row>
    <row r="52" spans="1:12">
      <c r="A52" t="s">
        <v>177</v>
      </c>
      <c r="B52" t="s">
        <v>117</v>
      </c>
      <c r="C52" s="3" t="s">
        <v>118</v>
      </c>
      <c r="F52" t="s">
        <v>22</v>
      </c>
      <c r="G52" s="1">
        <v>24.95</v>
      </c>
      <c r="H52">
        <v>1</v>
      </c>
      <c r="I52">
        <v>0</v>
      </c>
      <c r="J52" s="1">
        <f t="shared" si="1"/>
        <v>0</v>
      </c>
      <c r="K52" t="s">
        <v>211</v>
      </c>
      <c r="L52" t="s">
        <v>210</v>
      </c>
    </row>
    <row r="53" spans="1:12">
      <c r="A53" t="s">
        <v>178</v>
      </c>
      <c r="B53" t="s">
        <v>119</v>
      </c>
      <c r="C53" s="3" t="s">
        <v>120</v>
      </c>
      <c r="F53" t="s">
        <v>22</v>
      </c>
      <c r="G53" s="1">
        <v>17.95</v>
      </c>
      <c r="H53">
        <v>1</v>
      </c>
      <c r="I53">
        <v>0</v>
      </c>
      <c r="J53" s="1">
        <f t="shared" si="1"/>
        <v>0</v>
      </c>
    </row>
    <row r="54" spans="1:12">
      <c r="A54" t="s">
        <v>33</v>
      </c>
      <c r="B54" t="s">
        <v>121</v>
      </c>
      <c r="C54" s="3" t="s">
        <v>179</v>
      </c>
      <c r="F54" t="s">
        <v>22</v>
      </c>
      <c r="G54" s="1">
        <v>15.95</v>
      </c>
      <c r="H54">
        <v>6</v>
      </c>
      <c r="I54">
        <v>1</v>
      </c>
      <c r="J54" s="1">
        <f t="shared" si="1"/>
        <v>15.95</v>
      </c>
      <c r="K54" s="8"/>
    </row>
    <row r="55" spans="1:12">
      <c r="A55" t="s">
        <v>36</v>
      </c>
      <c r="B55" t="s">
        <v>161</v>
      </c>
      <c r="C55" s="3" t="s">
        <v>180</v>
      </c>
      <c r="F55" t="s">
        <v>22</v>
      </c>
      <c r="G55" s="1">
        <v>15.95</v>
      </c>
      <c r="H55">
        <v>3</v>
      </c>
      <c r="I55">
        <v>1</v>
      </c>
      <c r="J55" s="1">
        <f t="shared" si="1"/>
        <v>15.95</v>
      </c>
      <c r="K55" s="8"/>
    </row>
    <row r="56" spans="1:12">
      <c r="A56" t="s">
        <v>181</v>
      </c>
      <c r="B56" t="s">
        <v>122</v>
      </c>
      <c r="C56" s="3" t="s">
        <v>123</v>
      </c>
      <c r="F56" t="s">
        <v>22</v>
      </c>
      <c r="G56" s="1">
        <v>15.95</v>
      </c>
      <c r="H56">
        <v>1</v>
      </c>
      <c r="I56">
        <v>4</v>
      </c>
      <c r="J56" s="1">
        <f t="shared" si="1"/>
        <v>63.8</v>
      </c>
      <c r="K56" s="8"/>
      <c r="L56" t="s">
        <v>212</v>
      </c>
    </row>
    <row r="57" spans="1:12">
      <c r="A57" t="s">
        <v>165</v>
      </c>
      <c r="B57" t="s">
        <v>124</v>
      </c>
      <c r="C57" s="3" t="s">
        <v>125</v>
      </c>
      <c r="F57" t="s">
        <v>22</v>
      </c>
      <c r="G57" s="1">
        <v>6.95</v>
      </c>
      <c r="H57">
        <v>2</v>
      </c>
      <c r="I57">
        <v>4</v>
      </c>
      <c r="J57" s="1">
        <f t="shared" si="1"/>
        <v>27.8</v>
      </c>
      <c r="K57" s="8"/>
    </row>
    <row r="58" spans="1:12">
      <c r="A58" t="s">
        <v>182</v>
      </c>
      <c r="B58" t="s">
        <v>126</v>
      </c>
      <c r="C58" s="3" t="s">
        <v>127</v>
      </c>
      <c r="F58" t="s">
        <v>22</v>
      </c>
      <c r="G58" s="1">
        <v>13.95</v>
      </c>
      <c r="H58">
        <v>12</v>
      </c>
      <c r="I58">
        <v>0</v>
      </c>
      <c r="J58" s="1">
        <f t="shared" si="1"/>
        <v>0</v>
      </c>
    </row>
    <row r="59" spans="1:12">
      <c r="A59" t="s">
        <v>183</v>
      </c>
      <c r="B59" t="s">
        <v>128</v>
      </c>
      <c r="C59" s="3" t="s">
        <v>129</v>
      </c>
      <c r="F59" t="s">
        <v>22</v>
      </c>
      <c r="G59" s="1">
        <v>3.95</v>
      </c>
      <c r="H59">
        <v>6</v>
      </c>
      <c r="I59">
        <v>2</v>
      </c>
      <c r="J59" s="1">
        <f t="shared" si="1"/>
        <v>7.9</v>
      </c>
      <c r="K59" s="8"/>
    </row>
    <row r="60" spans="1:12">
      <c r="A60" t="s">
        <v>23</v>
      </c>
      <c r="B60" t="s">
        <v>130</v>
      </c>
      <c r="C60" s="3" t="s">
        <v>131</v>
      </c>
      <c r="F60" t="s">
        <v>22</v>
      </c>
      <c r="G60" s="1">
        <v>2.95</v>
      </c>
      <c r="H60">
        <v>100</v>
      </c>
      <c r="I60">
        <v>0</v>
      </c>
      <c r="J60" s="1">
        <f t="shared" si="1"/>
        <v>0</v>
      </c>
    </row>
    <row r="61" spans="1:12">
      <c r="A61" t="s">
        <v>185</v>
      </c>
      <c r="B61" t="s">
        <v>132</v>
      </c>
      <c r="C61" s="3" t="s">
        <v>133</v>
      </c>
      <c r="F61" t="s">
        <v>22</v>
      </c>
      <c r="G61" s="1">
        <v>9.9499999999999993</v>
      </c>
      <c r="H61">
        <v>100</v>
      </c>
      <c r="I61">
        <v>0</v>
      </c>
      <c r="J61" s="1">
        <f t="shared" si="1"/>
        <v>0</v>
      </c>
    </row>
    <row r="62" spans="1:12" ht="25.5">
      <c r="A62" t="s">
        <v>184</v>
      </c>
      <c r="B62" t="s">
        <v>134</v>
      </c>
      <c r="C62" s="3" t="s">
        <v>135</v>
      </c>
      <c r="F62" t="s">
        <v>22</v>
      </c>
      <c r="G62" s="1">
        <v>9.9499999999999993</v>
      </c>
      <c r="H62">
        <v>100</v>
      </c>
      <c r="I62">
        <v>0</v>
      </c>
      <c r="J62" s="1">
        <f t="shared" si="1"/>
        <v>0</v>
      </c>
    </row>
    <row r="63" spans="1:12">
      <c r="A63" t="s">
        <v>186</v>
      </c>
      <c r="B63" t="s">
        <v>136</v>
      </c>
      <c r="C63" s="3" t="s">
        <v>137</v>
      </c>
      <c r="F63" t="s">
        <v>22</v>
      </c>
      <c r="G63" s="1">
        <v>1.95</v>
      </c>
      <c r="H63">
        <v>12</v>
      </c>
      <c r="I63">
        <v>0</v>
      </c>
      <c r="J63" s="1">
        <f t="shared" si="1"/>
        <v>0</v>
      </c>
    </row>
    <row r="64" spans="1:12">
      <c r="A64" t="s">
        <v>187</v>
      </c>
      <c r="B64" t="s">
        <v>138</v>
      </c>
      <c r="C64" s="3" t="s">
        <v>139</v>
      </c>
      <c r="F64" t="s">
        <v>22</v>
      </c>
      <c r="G64" s="1">
        <v>0.95</v>
      </c>
      <c r="H64">
        <v>6</v>
      </c>
      <c r="I64">
        <v>0</v>
      </c>
      <c r="J64" s="1">
        <f t="shared" si="1"/>
        <v>0</v>
      </c>
    </row>
    <row r="65" spans="1:12">
      <c r="A65" t="s">
        <v>188</v>
      </c>
      <c r="B65" s="2" t="s">
        <v>140</v>
      </c>
      <c r="C65" s="3" t="s">
        <v>141</v>
      </c>
      <c r="F65" t="s">
        <v>22</v>
      </c>
      <c r="G65" s="1">
        <v>3.95</v>
      </c>
      <c r="H65">
        <v>12</v>
      </c>
      <c r="I65">
        <v>1</v>
      </c>
      <c r="J65" s="1">
        <f t="shared" si="1"/>
        <v>3.95</v>
      </c>
      <c r="K65" s="8"/>
    </row>
    <row r="66" spans="1:12">
      <c r="A66" t="s">
        <v>189</v>
      </c>
      <c r="B66" t="s">
        <v>142</v>
      </c>
      <c r="C66" s="3" t="s">
        <v>143</v>
      </c>
      <c r="F66" t="s">
        <v>22</v>
      </c>
      <c r="G66" s="1">
        <v>4.95</v>
      </c>
      <c r="H66">
        <v>12</v>
      </c>
      <c r="I66">
        <v>1</v>
      </c>
      <c r="J66" s="1">
        <f t="shared" si="1"/>
        <v>4.95</v>
      </c>
      <c r="K66" s="8"/>
    </row>
    <row r="67" spans="1:12">
      <c r="A67" t="s">
        <v>190</v>
      </c>
      <c r="B67" t="s">
        <v>144</v>
      </c>
      <c r="C67" s="3" t="s">
        <v>148</v>
      </c>
      <c r="F67" t="s">
        <v>22</v>
      </c>
      <c r="G67" s="1">
        <v>8.9499999999999993</v>
      </c>
      <c r="H67">
        <v>50</v>
      </c>
      <c r="I67">
        <v>0</v>
      </c>
      <c r="J67" s="1">
        <f t="shared" si="1"/>
        <v>0</v>
      </c>
    </row>
    <row r="68" spans="1:12">
      <c r="A68" t="s">
        <v>191</v>
      </c>
      <c r="B68" t="s">
        <v>145</v>
      </c>
      <c r="C68" s="3" t="s">
        <v>149</v>
      </c>
      <c r="F68" t="s">
        <v>22</v>
      </c>
      <c r="G68" s="1">
        <v>12</v>
      </c>
      <c r="H68">
        <v>12</v>
      </c>
      <c r="I68">
        <v>0</v>
      </c>
      <c r="J68" s="1">
        <f t="shared" si="1"/>
        <v>0</v>
      </c>
    </row>
    <row r="69" spans="1:12">
      <c r="A69" t="s">
        <v>192</v>
      </c>
      <c r="B69" t="s">
        <v>146</v>
      </c>
      <c r="C69" s="3" t="s">
        <v>150</v>
      </c>
      <c r="F69" t="s">
        <v>22</v>
      </c>
      <c r="G69" s="1">
        <v>6.95</v>
      </c>
      <c r="H69">
        <v>2</v>
      </c>
      <c r="I69">
        <v>5</v>
      </c>
      <c r="J69" s="1">
        <f t="shared" si="1"/>
        <v>34.75</v>
      </c>
      <c r="K69" s="8"/>
    </row>
    <row r="70" spans="1:12">
      <c r="B70" t="s">
        <v>146</v>
      </c>
      <c r="C70" s="3" t="s">
        <v>151</v>
      </c>
      <c r="F70" t="s">
        <v>22</v>
      </c>
      <c r="I70">
        <v>0</v>
      </c>
      <c r="J70" s="1">
        <f t="shared" si="1"/>
        <v>0</v>
      </c>
    </row>
    <row r="71" spans="1:12" ht="25.5">
      <c r="A71" t="s">
        <v>28</v>
      </c>
      <c r="B71" t="s">
        <v>146</v>
      </c>
      <c r="C71" s="3" t="s">
        <v>152</v>
      </c>
      <c r="F71" t="s">
        <v>22</v>
      </c>
      <c r="G71" s="1">
        <v>24.95</v>
      </c>
      <c r="H71">
        <v>1</v>
      </c>
      <c r="I71">
        <v>0</v>
      </c>
      <c r="J71" s="1">
        <f t="shared" si="1"/>
        <v>0</v>
      </c>
    </row>
    <row r="72" spans="1:12">
      <c r="A72" t="s">
        <v>173</v>
      </c>
      <c r="B72" t="s">
        <v>147</v>
      </c>
      <c r="C72" s="3" t="s">
        <v>153</v>
      </c>
      <c r="F72" t="s">
        <v>22</v>
      </c>
      <c r="G72" s="1">
        <v>4.95</v>
      </c>
      <c r="H72">
        <v>2</v>
      </c>
      <c r="I72">
        <v>6</v>
      </c>
      <c r="J72" s="1">
        <f t="shared" si="1"/>
        <v>29.700000000000003</v>
      </c>
      <c r="K72" s="10"/>
    </row>
    <row r="73" spans="1:12">
      <c r="A73" t="s">
        <v>165</v>
      </c>
      <c r="B73" t="s">
        <v>161</v>
      </c>
      <c r="C73" s="3" t="s">
        <v>164</v>
      </c>
      <c r="F73" t="s">
        <v>22</v>
      </c>
      <c r="G73" s="1">
        <v>6.95</v>
      </c>
      <c r="H73">
        <v>2</v>
      </c>
      <c r="I73">
        <v>0</v>
      </c>
      <c r="J73" s="1">
        <f t="shared" si="1"/>
        <v>0</v>
      </c>
      <c r="L73" t="s">
        <v>213</v>
      </c>
    </row>
    <row r="74" spans="1:12">
      <c r="A74" t="s">
        <v>195</v>
      </c>
      <c r="B74" t="s">
        <v>194</v>
      </c>
      <c r="C74" s="3" t="s">
        <v>193</v>
      </c>
      <c r="F74" t="s">
        <v>22</v>
      </c>
      <c r="G74" s="1">
        <v>15.95</v>
      </c>
      <c r="H74">
        <v>1</v>
      </c>
      <c r="I74">
        <v>0</v>
      </c>
      <c r="J74" s="1">
        <f t="shared" si="1"/>
        <v>0</v>
      </c>
    </row>
    <row r="75" spans="1:12">
      <c r="I75">
        <v>1</v>
      </c>
      <c r="J75" s="1">
        <f t="shared" si="1"/>
        <v>0</v>
      </c>
    </row>
    <row r="76" spans="1:12">
      <c r="I76">
        <v>1</v>
      </c>
      <c r="J76" s="1">
        <f t="shared" si="1"/>
        <v>0</v>
      </c>
    </row>
    <row r="77" spans="1:12">
      <c r="A77" t="s">
        <v>198</v>
      </c>
      <c r="B77" t="s">
        <v>197</v>
      </c>
      <c r="C77" s="3" t="s">
        <v>199</v>
      </c>
      <c r="D77" t="s">
        <v>201</v>
      </c>
      <c r="F77" t="s">
        <v>200</v>
      </c>
      <c r="G77" s="1">
        <v>25</v>
      </c>
      <c r="H77">
        <v>1</v>
      </c>
      <c r="I77">
        <v>0</v>
      </c>
      <c r="J77" s="1">
        <f t="shared" si="1"/>
        <v>0</v>
      </c>
    </row>
    <row r="78" spans="1:12">
      <c r="I78">
        <v>0</v>
      </c>
      <c r="J78" s="1">
        <f t="shared" si="1"/>
        <v>0</v>
      </c>
    </row>
    <row r="79" spans="1:12" ht="25.5">
      <c r="A79" t="s">
        <v>202</v>
      </c>
      <c r="B79" t="s">
        <v>205</v>
      </c>
      <c r="C79" s="3" t="s">
        <v>206</v>
      </c>
      <c r="D79" t="s">
        <v>203</v>
      </c>
      <c r="F79" t="s">
        <v>204</v>
      </c>
      <c r="G79" s="1">
        <v>5</v>
      </c>
      <c r="H79">
        <v>1</v>
      </c>
      <c r="I79">
        <v>8</v>
      </c>
      <c r="J79" s="1">
        <f t="shared" si="1"/>
        <v>40</v>
      </c>
      <c r="K79" s="10"/>
    </row>
    <row r="80" spans="1:12">
      <c r="A80" t="s">
        <v>214</v>
      </c>
      <c r="B80" t="s">
        <v>215</v>
      </c>
      <c r="F80" t="s">
        <v>22</v>
      </c>
      <c r="G80" s="1">
        <v>29.95</v>
      </c>
      <c r="H80">
        <v>1</v>
      </c>
      <c r="I80">
        <v>1</v>
      </c>
      <c r="J80" s="1">
        <f t="shared" si="1"/>
        <v>29.95</v>
      </c>
      <c r="K80" s="10"/>
    </row>
    <row r="81" spans="1:11">
      <c r="A81" t="s">
        <v>216</v>
      </c>
      <c r="B81" t="s">
        <v>217</v>
      </c>
      <c r="C81" s="3" t="s">
        <v>218</v>
      </c>
      <c r="F81" t="s">
        <v>22</v>
      </c>
      <c r="G81" s="1">
        <v>34.950000000000003</v>
      </c>
      <c r="H81">
        <v>1</v>
      </c>
      <c r="I81">
        <v>1</v>
      </c>
      <c r="J81" s="1">
        <f t="shared" si="1"/>
        <v>34.950000000000003</v>
      </c>
      <c r="K81" s="10"/>
    </row>
    <row r="82" spans="1:11">
      <c r="A82" t="s">
        <v>219</v>
      </c>
      <c r="B82" t="s">
        <v>220</v>
      </c>
      <c r="C82" s="3" t="s">
        <v>221</v>
      </c>
      <c r="D82" t="s">
        <v>222</v>
      </c>
      <c r="F82" t="s">
        <v>22</v>
      </c>
      <c r="G82" s="1">
        <v>29.95</v>
      </c>
      <c r="H82">
        <v>2</v>
      </c>
      <c r="I82">
        <v>2</v>
      </c>
      <c r="J82" s="1">
        <f t="shared" si="1"/>
        <v>59.9</v>
      </c>
      <c r="K82" s="10"/>
    </row>
    <row r="83" spans="1:11">
      <c r="A83" t="s">
        <v>223</v>
      </c>
      <c r="B83" t="s">
        <v>224</v>
      </c>
      <c r="C83" s="3" t="s">
        <v>221</v>
      </c>
      <c r="D83">
        <v>24</v>
      </c>
      <c r="F83" t="s">
        <v>22</v>
      </c>
      <c r="G83" s="1">
        <v>22.95</v>
      </c>
      <c r="H83">
        <v>2</v>
      </c>
      <c r="I83">
        <v>2</v>
      </c>
      <c r="J83" s="1">
        <f t="shared" si="1"/>
        <v>45.9</v>
      </c>
      <c r="K83" s="10"/>
    </row>
    <row r="84" spans="1:11">
      <c r="A84" t="s">
        <v>225</v>
      </c>
      <c r="B84" t="s">
        <v>226</v>
      </c>
      <c r="C84" s="3" t="s">
        <v>221</v>
      </c>
      <c r="D84">
        <v>16</v>
      </c>
      <c r="F84" t="s">
        <v>22</v>
      </c>
      <c r="G84" s="1">
        <v>16.95</v>
      </c>
      <c r="H84">
        <v>2</v>
      </c>
      <c r="I84">
        <v>2</v>
      </c>
      <c r="J84" s="1">
        <f t="shared" si="1"/>
        <v>33.9</v>
      </c>
      <c r="K84" s="10"/>
    </row>
    <row r="85" spans="1:11">
      <c r="J85" s="1">
        <f>SUM(J2:J84)</f>
        <v>1113.4800000000005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N79"/>
  <sheetViews>
    <sheetView zoomScale="87" zoomScaleNormal="87" workbookViewId="0">
      <pane ySplit="495" topLeftCell="A45" activePane="bottomLeft"/>
      <selection activeCell="C1" sqref="C1:C1048576"/>
      <selection pane="bottomLeft" activeCell="C84" sqref="C84"/>
    </sheetView>
  </sheetViews>
  <sheetFormatPr defaultRowHeight="12.75"/>
  <cols>
    <col min="1" max="1" width="16" customWidth="1"/>
    <col min="2" max="2" width="28.28515625" customWidth="1"/>
    <col min="3" max="3" width="26.28515625" style="3" customWidth="1"/>
    <col min="4" max="4" width="11.7109375" customWidth="1"/>
    <col min="5" max="5" width="6" customWidth="1"/>
    <col min="6" max="6" width="13.28515625"/>
    <col min="7" max="7" width="9" style="1" customWidth="1"/>
    <col min="8" max="9" width="8.85546875" customWidth="1"/>
    <col min="10" max="10" width="11.5703125" style="1"/>
    <col min="11" max="1026" width="11.5703125"/>
  </cols>
  <sheetData>
    <row r="1" spans="1:14">
      <c r="A1" t="s">
        <v>0</v>
      </c>
      <c r="B1" t="s">
        <v>76</v>
      </c>
      <c r="C1" s="3" t="s">
        <v>1</v>
      </c>
      <c r="D1" t="s">
        <v>2</v>
      </c>
      <c r="E1" t="s">
        <v>3</v>
      </c>
      <c r="F1" t="s">
        <v>4</v>
      </c>
      <c r="G1" s="1" t="s">
        <v>5</v>
      </c>
      <c r="H1" t="s">
        <v>6</v>
      </c>
      <c r="I1" t="s">
        <v>7</v>
      </c>
      <c r="J1" s="1" t="s">
        <v>8</v>
      </c>
    </row>
    <row r="2" spans="1:14">
      <c r="A2" t="s">
        <v>9</v>
      </c>
      <c r="C2" s="3" t="s">
        <v>10</v>
      </c>
      <c r="D2" t="s">
        <v>11</v>
      </c>
      <c r="F2" t="s">
        <v>12</v>
      </c>
      <c r="G2" s="1">
        <v>17.95</v>
      </c>
      <c r="H2">
        <v>1</v>
      </c>
      <c r="I2">
        <v>4</v>
      </c>
      <c r="J2" s="1">
        <f>G2*I2</f>
        <v>71.8</v>
      </c>
      <c r="L2">
        <f>416/25</f>
        <v>16.64</v>
      </c>
      <c r="M2">
        <v>416</v>
      </c>
      <c r="N2">
        <f>M2/25</f>
        <v>16.64</v>
      </c>
    </row>
    <row r="4" spans="1:14">
      <c r="A4" t="s">
        <v>13</v>
      </c>
      <c r="C4" s="3" t="s">
        <v>14</v>
      </c>
      <c r="F4" t="s">
        <v>12</v>
      </c>
      <c r="G4" s="1">
        <v>4.95</v>
      </c>
      <c r="H4">
        <v>2</v>
      </c>
      <c r="I4">
        <v>4</v>
      </c>
      <c r="J4" s="1">
        <f t="shared" ref="J4:J25" si="0">G4*I4</f>
        <v>19.8</v>
      </c>
      <c r="M4">
        <v>288</v>
      </c>
      <c r="N4">
        <f>M4/25</f>
        <v>11.52</v>
      </c>
    </row>
    <row r="5" spans="1:14">
      <c r="A5" t="s">
        <v>15</v>
      </c>
      <c r="C5" s="3" t="s">
        <v>16</v>
      </c>
      <c r="D5" t="s">
        <v>17</v>
      </c>
      <c r="F5" t="s">
        <v>18</v>
      </c>
      <c r="G5" s="1">
        <v>9.9499999999999993</v>
      </c>
      <c r="H5">
        <v>100</v>
      </c>
      <c r="I5">
        <v>1</v>
      </c>
      <c r="J5" s="1">
        <f t="shared" si="0"/>
        <v>9.9499999999999993</v>
      </c>
    </row>
    <row r="6" spans="1:14">
      <c r="A6" t="s">
        <v>19</v>
      </c>
      <c r="C6" s="3" t="s">
        <v>20</v>
      </c>
      <c r="D6" t="s">
        <v>21</v>
      </c>
      <c r="F6" t="s">
        <v>22</v>
      </c>
      <c r="G6" s="1">
        <v>9.9499999999999993</v>
      </c>
      <c r="H6">
        <v>100</v>
      </c>
      <c r="I6">
        <v>1</v>
      </c>
      <c r="J6" s="1">
        <f t="shared" si="0"/>
        <v>9.9499999999999993</v>
      </c>
    </row>
    <row r="7" spans="1:14">
      <c r="A7" t="s">
        <v>23</v>
      </c>
      <c r="C7" s="3" t="s">
        <v>24</v>
      </c>
      <c r="F7" t="s">
        <v>22</v>
      </c>
      <c r="G7" s="1">
        <v>2.95</v>
      </c>
      <c r="H7">
        <v>100</v>
      </c>
      <c r="I7">
        <v>2</v>
      </c>
      <c r="J7" s="1">
        <f t="shared" si="0"/>
        <v>5.9</v>
      </c>
    </row>
    <row r="8" spans="1:14">
      <c r="A8" t="s">
        <v>25</v>
      </c>
      <c r="C8" s="3" t="s">
        <v>26</v>
      </c>
      <c r="D8" t="s">
        <v>27</v>
      </c>
      <c r="F8" t="s">
        <v>22</v>
      </c>
      <c r="G8" s="1">
        <v>8.9499999999999993</v>
      </c>
      <c r="H8">
        <v>50</v>
      </c>
      <c r="I8">
        <v>1</v>
      </c>
      <c r="J8" s="1">
        <f t="shared" si="0"/>
        <v>8.9499999999999993</v>
      </c>
    </row>
    <row r="9" spans="1:14">
      <c r="A9" t="s">
        <v>28</v>
      </c>
      <c r="C9" s="3" t="s">
        <v>29</v>
      </c>
      <c r="F9" t="s">
        <v>22</v>
      </c>
      <c r="G9" s="1">
        <v>24.95</v>
      </c>
      <c r="H9">
        <v>1</v>
      </c>
      <c r="I9">
        <v>4</v>
      </c>
      <c r="J9" s="1">
        <f t="shared" si="0"/>
        <v>99.8</v>
      </c>
    </row>
    <row r="10" spans="1:14">
      <c r="A10" t="s">
        <v>30</v>
      </c>
      <c r="C10" s="3" t="s">
        <v>31</v>
      </c>
      <c r="D10" t="s">
        <v>32</v>
      </c>
      <c r="F10" t="s">
        <v>22</v>
      </c>
      <c r="G10" s="1">
        <v>6.95</v>
      </c>
      <c r="H10">
        <v>2</v>
      </c>
      <c r="I10">
        <v>4</v>
      </c>
      <c r="J10" s="1">
        <f t="shared" si="0"/>
        <v>27.8</v>
      </c>
    </row>
    <row r="11" spans="1:14">
      <c r="A11" t="s">
        <v>33</v>
      </c>
      <c r="C11" s="3" t="s">
        <v>34</v>
      </c>
      <c r="D11" t="s">
        <v>35</v>
      </c>
      <c r="F11" t="s">
        <v>22</v>
      </c>
      <c r="G11" s="1">
        <v>15.95</v>
      </c>
      <c r="H11">
        <v>6</v>
      </c>
      <c r="I11">
        <v>1</v>
      </c>
      <c r="J11" s="1">
        <f t="shared" si="0"/>
        <v>15.95</v>
      </c>
    </row>
    <row r="12" spans="1:14">
      <c r="A12" t="s">
        <v>36</v>
      </c>
      <c r="C12" s="3" t="s">
        <v>34</v>
      </c>
      <c r="D12" t="s">
        <v>37</v>
      </c>
      <c r="F12" t="s">
        <v>22</v>
      </c>
      <c r="G12" s="1">
        <v>15.95</v>
      </c>
      <c r="H12">
        <v>3</v>
      </c>
      <c r="I12">
        <v>2</v>
      </c>
      <c r="J12" s="1">
        <f t="shared" si="0"/>
        <v>31.9</v>
      </c>
    </row>
    <row r="13" spans="1:14">
      <c r="A13" t="s">
        <v>38</v>
      </c>
      <c r="C13" s="3" t="s">
        <v>39</v>
      </c>
      <c r="D13" t="s">
        <v>40</v>
      </c>
      <c r="F13" t="s">
        <v>22</v>
      </c>
      <c r="G13" s="1">
        <v>5.95</v>
      </c>
      <c r="H13">
        <v>2</v>
      </c>
      <c r="I13">
        <v>2</v>
      </c>
      <c r="J13" s="1">
        <f t="shared" si="0"/>
        <v>11.9</v>
      </c>
    </row>
    <row r="14" spans="1:14">
      <c r="A14" t="s">
        <v>41</v>
      </c>
      <c r="C14" s="3" t="s">
        <v>42</v>
      </c>
      <c r="F14" t="s">
        <v>22</v>
      </c>
      <c r="G14" s="1">
        <v>13.95</v>
      </c>
      <c r="H14" t="s">
        <v>43</v>
      </c>
      <c r="I14">
        <v>1</v>
      </c>
      <c r="J14" s="1">
        <f t="shared" si="0"/>
        <v>13.95</v>
      </c>
    </row>
    <row r="15" spans="1:14">
      <c r="A15" t="s">
        <v>44</v>
      </c>
      <c r="C15" s="3" t="s">
        <v>45</v>
      </c>
      <c r="D15" t="s">
        <v>46</v>
      </c>
      <c r="F15" t="s">
        <v>22</v>
      </c>
      <c r="G15" s="1">
        <v>49.95</v>
      </c>
      <c r="H15">
        <v>1</v>
      </c>
      <c r="I15">
        <v>2</v>
      </c>
      <c r="J15" s="1">
        <f t="shared" si="0"/>
        <v>99.9</v>
      </c>
    </row>
    <row r="16" spans="1:14">
      <c r="A16" t="s">
        <v>47</v>
      </c>
      <c r="C16" s="3" t="s">
        <v>48</v>
      </c>
      <c r="D16" t="s">
        <v>49</v>
      </c>
      <c r="F16" t="s">
        <v>22</v>
      </c>
      <c r="G16" s="1">
        <v>0.95</v>
      </c>
      <c r="H16" t="s">
        <v>50</v>
      </c>
      <c r="I16">
        <v>15</v>
      </c>
      <c r="J16" s="1">
        <f t="shared" si="0"/>
        <v>14.25</v>
      </c>
    </row>
    <row r="17" spans="1:10">
      <c r="A17" t="s">
        <v>51</v>
      </c>
      <c r="C17" s="3" t="s">
        <v>52</v>
      </c>
      <c r="F17" t="s">
        <v>22</v>
      </c>
      <c r="G17" s="1">
        <v>16.95</v>
      </c>
      <c r="H17">
        <v>1</v>
      </c>
      <c r="I17">
        <v>1</v>
      </c>
      <c r="J17" s="1">
        <f t="shared" si="0"/>
        <v>16.95</v>
      </c>
    </row>
    <row r="18" spans="1:10">
      <c r="C18" s="3" t="s">
        <v>53</v>
      </c>
      <c r="F18" t="s">
        <v>22</v>
      </c>
      <c r="J18" s="1">
        <f t="shared" si="0"/>
        <v>0</v>
      </c>
    </row>
    <row r="19" spans="1:10">
      <c r="C19" s="3" t="s">
        <v>54</v>
      </c>
      <c r="F19" t="s">
        <v>22</v>
      </c>
      <c r="J19" s="1">
        <f t="shared" si="0"/>
        <v>0</v>
      </c>
    </row>
    <row r="20" spans="1:10">
      <c r="A20" t="s">
        <v>55</v>
      </c>
      <c r="C20" s="3" t="s">
        <v>56</v>
      </c>
      <c r="D20" t="s">
        <v>57</v>
      </c>
      <c r="F20" t="s">
        <v>22</v>
      </c>
      <c r="G20" s="1">
        <v>19.95</v>
      </c>
      <c r="H20">
        <v>1</v>
      </c>
      <c r="I20">
        <v>4</v>
      </c>
      <c r="J20" s="1">
        <f t="shared" si="0"/>
        <v>79.8</v>
      </c>
    </row>
    <row r="21" spans="1:10">
      <c r="A21" t="s">
        <v>58</v>
      </c>
      <c r="C21" s="3" t="s">
        <v>59</v>
      </c>
      <c r="F21" t="s">
        <v>22</v>
      </c>
      <c r="G21" s="1">
        <v>15.95</v>
      </c>
      <c r="H21">
        <v>1</v>
      </c>
      <c r="I21">
        <v>6</v>
      </c>
      <c r="J21" s="1">
        <f t="shared" si="0"/>
        <v>95.699999999999989</v>
      </c>
    </row>
    <row r="22" spans="1:10">
      <c r="A22" t="s">
        <v>60</v>
      </c>
      <c r="C22" s="3" t="s">
        <v>61</v>
      </c>
      <c r="F22" t="s">
        <v>22</v>
      </c>
      <c r="G22" s="1">
        <v>1.95</v>
      </c>
      <c r="H22">
        <v>1</v>
      </c>
      <c r="I22">
        <v>5</v>
      </c>
      <c r="J22" s="1">
        <f t="shared" si="0"/>
        <v>9.75</v>
      </c>
    </row>
    <row r="23" spans="1:10">
      <c r="A23" t="s">
        <v>62</v>
      </c>
      <c r="C23" s="3" t="s">
        <v>63</v>
      </c>
      <c r="D23">
        <v>346</v>
      </c>
      <c r="F23" t="s">
        <v>64</v>
      </c>
      <c r="G23" s="1">
        <v>27.17</v>
      </c>
      <c r="H23" t="s">
        <v>65</v>
      </c>
      <c r="I23">
        <v>1</v>
      </c>
      <c r="J23" s="1">
        <f t="shared" si="0"/>
        <v>27.17</v>
      </c>
    </row>
    <row r="24" spans="1:10">
      <c r="A24" t="s">
        <v>66</v>
      </c>
      <c r="C24" s="3" t="s">
        <v>67</v>
      </c>
      <c r="D24">
        <v>693</v>
      </c>
      <c r="F24" t="s">
        <v>64</v>
      </c>
      <c r="G24" s="1">
        <v>12.77</v>
      </c>
      <c r="H24" t="s">
        <v>68</v>
      </c>
      <c r="I24">
        <v>1</v>
      </c>
      <c r="J24" s="1">
        <f t="shared" si="0"/>
        <v>12.77</v>
      </c>
    </row>
    <row r="25" spans="1:10">
      <c r="A25" t="s">
        <v>69</v>
      </c>
      <c r="C25" s="3" t="s">
        <v>70</v>
      </c>
      <c r="D25" t="s">
        <v>71</v>
      </c>
      <c r="F25" t="s">
        <v>72</v>
      </c>
      <c r="G25" s="1">
        <v>1.52</v>
      </c>
      <c r="H25">
        <v>1</v>
      </c>
      <c r="I25">
        <v>4</v>
      </c>
      <c r="J25" s="1">
        <f t="shared" si="0"/>
        <v>6.08</v>
      </c>
    </row>
    <row r="28" spans="1:10">
      <c r="A28" t="s">
        <v>154</v>
      </c>
      <c r="B28" t="s">
        <v>73</v>
      </c>
      <c r="F28" t="s">
        <v>22</v>
      </c>
      <c r="G28" s="1">
        <v>89.95</v>
      </c>
      <c r="H28">
        <v>1</v>
      </c>
    </row>
    <row r="29" spans="1:10">
      <c r="B29" t="s">
        <v>74</v>
      </c>
    </row>
    <row r="30" spans="1:10">
      <c r="A30" t="s">
        <v>155</v>
      </c>
      <c r="B30" t="s">
        <v>75</v>
      </c>
      <c r="F30" t="s">
        <v>22</v>
      </c>
      <c r="G30" s="1">
        <v>79.95</v>
      </c>
      <c r="H30">
        <v>1</v>
      </c>
    </row>
    <row r="31" spans="1:10">
      <c r="A31" t="s">
        <v>157</v>
      </c>
      <c r="B31" t="s">
        <v>77</v>
      </c>
      <c r="C31" s="3" t="s">
        <v>78</v>
      </c>
      <c r="F31" t="s">
        <v>22</v>
      </c>
      <c r="G31" s="1">
        <v>27.95</v>
      </c>
      <c r="H31">
        <v>2</v>
      </c>
    </row>
    <row r="32" spans="1:10">
      <c r="A32" t="s">
        <v>156</v>
      </c>
      <c r="B32" t="s">
        <v>79</v>
      </c>
      <c r="C32" s="3" t="s">
        <v>80</v>
      </c>
      <c r="F32" t="s">
        <v>22</v>
      </c>
      <c r="G32" s="1">
        <v>1.95</v>
      </c>
      <c r="H32">
        <v>1</v>
      </c>
    </row>
    <row r="33" spans="1:9" ht="25.5">
      <c r="A33" t="s">
        <v>158</v>
      </c>
      <c r="B33" t="s">
        <v>81</v>
      </c>
      <c r="C33" s="3" t="s">
        <v>82</v>
      </c>
      <c r="F33" t="s">
        <v>22</v>
      </c>
      <c r="G33" s="1">
        <v>29.95</v>
      </c>
      <c r="H33">
        <v>2</v>
      </c>
    </row>
    <row r="34" spans="1:9">
      <c r="A34" t="s">
        <v>196</v>
      </c>
      <c r="B34" t="s">
        <v>83</v>
      </c>
      <c r="C34" s="3" t="s">
        <v>84</v>
      </c>
      <c r="F34" t="s">
        <v>22</v>
      </c>
      <c r="G34" s="1">
        <v>79.95</v>
      </c>
      <c r="H34">
        <v>1</v>
      </c>
      <c r="I34">
        <v>0</v>
      </c>
    </row>
    <row r="35" spans="1:9">
      <c r="A35" t="s">
        <v>159</v>
      </c>
      <c r="B35" t="s">
        <v>85</v>
      </c>
      <c r="C35" s="3" t="s">
        <v>86</v>
      </c>
      <c r="F35" t="s">
        <v>22</v>
      </c>
      <c r="G35" s="1">
        <v>5.95</v>
      </c>
      <c r="H35">
        <v>1</v>
      </c>
    </row>
    <row r="36" spans="1:9">
      <c r="A36" t="s">
        <v>160</v>
      </c>
      <c r="B36" t="s">
        <v>87</v>
      </c>
      <c r="C36" s="3" t="s">
        <v>88</v>
      </c>
      <c r="F36" t="s">
        <v>22</v>
      </c>
      <c r="G36" s="1">
        <v>22.95</v>
      </c>
      <c r="H36">
        <v>2</v>
      </c>
    </row>
    <row r="37" spans="1:9">
      <c r="A37" t="s">
        <v>55</v>
      </c>
      <c r="B37" t="s">
        <v>89</v>
      </c>
      <c r="C37" s="3" t="s">
        <v>90</v>
      </c>
      <c r="F37" t="s">
        <v>22</v>
      </c>
      <c r="G37" s="1">
        <v>19.95</v>
      </c>
      <c r="H37">
        <v>1</v>
      </c>
    </row>
    <row r="38" spans="1:9">
      <c r="A38" t="s">
        <v>44</v>
      </c>
      <c r="B38" t="s">
        <v>91</v>
      </c>
      <c r="C38" s="3" t="s">
        <v>92</v>
      </c>
      <c r="F38" t="s">
        <v>22</v>
      </c>
      <c r="G38" s="1">
        <v>49.95</v>
      </c>
      <c r="H38">
        <v>1</v>
      </c>
    </row>
    <row r="39" spans="1:9">
      <c r="A39" t="s">
        <v>163</v>
      </c>
      <c r="B39" t="s">
        <v>161</v>
      </c>
      <c r="C39" s="3" t="s">
        <v>162</v>
      </c>
      <c r="F39" t="s">
        <v>22</v>
      </c>
      <c r="G39" s="1">
        <v>24.95</v>
      </c>
      <c r="H39">
        <v>1</v>
      </c>
    </row>
    <row r="40" spans="1:9" ht="25.5">
      <c r="A40" t="s">
        <v>166</v>
      </c>
      <c r="B40" t="s">
        <v>93</v>
      </c>
      <c r="C40" s="3" t="s">
        <v>94</v>
      </c>
      <c r="F40" t="s">
        <v>22</v>
      </c>
      <c r="G40" s="1">
        <v>9.9499999999999993</v>
      </c>
      <c r="H40">
        <v>2</v>
      </c>
    </row>
    <row r="41" spans="1:9">
      <c r="A41" t="s">
        <v>167</v>
      </c>
      <c r="B41" t="s">
        <v>95</v>
      </c>
      <c r="C41" s="3" t="s">
        <v>96</v>
      </c>
      <c r="F41" t="s">
        <v>22</v>
      </c>
      <c r="G41" s="1">
        <v>5.95</v>
      </c>
      <c r="H41">
        <v>2</v>
      </c>
    </row>
    <row r="42" spans="1:9">
      <c r="A42" t="s">
        <v>168</v>
      </c>
      <c r="B42" t="s">
        <v>97</v>
      </c>
      <c r="C42" s="3" t="s">
        <v>98</v>
      </c>
      <c r="F42" t="s">
        <v>22</v>
      </c>
      <c r="G42" s="1">
        <v>4.95</v>
      </c>
      <c r="H42">
        <v>2</v>
      </c>
    </row>
    <row r="43" spans="1:9">
      <c r="A43" t="s">
        <v>169</v>
      </c>
      <c r="B43" t="s">
        <v>99</v>
      </c>
      <c r="C43" s="3" t="s">
        <v>100</v>
      </c>
      <c r="F43" t="s">
        <v>22</v>
      </c>
      <c r="G43" s="4">
        <v>9.9499999999999993</v>
      </c>
      <c r="H43">
        <v>2</v>
      </c>
    </row>
    <row r="44" spans="1:9">
      <c r="A44" t="s">
        <v>170</v>
      </c>
      <c r="B44" t="s">
        <v>101</v>
      </c>
      <c r="C44" s="3" t="s">
        <v>102</v>
      </c>
      <c r="F44" t="s">
        <v>22</v>
      </c>
      <c r="G44" s="1">
        <v>11.95</v>
      </c>
      <c r="H44">
        <v>2</v>
      </c>
    </row>
    <row r="45" spans="1:9">
      <c r="A45" t="s">
        <v>171</v>
      </c>
      <c r="B45" t="s">
        <v>103</v>
      </c>
      <c r="C45" s="3" t="s">
        <v>104</v>
      </c>
      <c r="F45" t="s">
        <v>22</v>
      </c>
      <c r="G45" s="1">
        <v>16.95</v>
      </c>
      <c r="H45">
        <v>2</v>
      </c>
    </row>
    <row r="46" spans="1:9">
      <c r="A46" t="s">
        <v>172</v>
      </c>
      <c r="B46" t="s">
        <v>105</v>
      </c>
      <c r="C46" s="3" t="s">
        <v>106</v>
      </c>
      <c r="F46" t="s">
        <v>22</v>
      </c>
      <c r="G46" s="1">
        <v>27.95</v>
      </c>
      <c r="H46">
        <v>2</v>
      </c>
    </row>
    <row r="47" spans="1:9">
      <c r="A47" t="s">
        <v>9</v>
      </c>
      <c r="B47" t="s">
        <v>107</v>
      </c>
      <c r="C47" s="3" t="s">
        <v>108</v>
      </c>
      <c r="F47" t="s">
        <v>22</v>
      </c>
      <c r="G47" s="1">
        <v>17.95</v>
      </c>
      <c r="H47">
        <v>1</v>
      </c>
    </row>
    <row r="48" spans="1:9">
      <c r="A48" t="s">
        <v>174</v>
      </c>
      <c r="B48" t="s">
        <v>109</v>
      </c>
      <c r="C48" s="3" t="s">
        <v>110</v>
      </c>
      <c r="F48" t="s">
        <v>22</v>
      </c>
      <c r="G48" s="1">
        <v>13.95</v>
      </c>
      <c r="H48">
        <v>2</v>
      </c>
    </row>
    <row r="49" spans="1:9">
      <c r="A49" t="s">
        <v>175</v>
      </c>
      <c r="B49" t="s">
        <v>111</v>
      </c>
      <c r="C49" s="3" t="s">
        <v>112</v>
      </c>
      <c r="F49" t="s">
        <v>22</v>
      </c>
      <c r="G49" s="1">
        <v>10.95</v>
      </c>
      <c r="H49">
        <v>2</v>
      </c>
    </row>
    <row r="50" spans="1:9">
      <c r="A50" t="s">
        <v>176</v>
      </c>
      <c r="B50" t="s">
        <v>113</v>
      </c>
      <c r="C50" s="3" t="s">
        <v>114</v>
      </c>
      <c r="F50" t="s">
        <v>22</v>
      </c>
      <c r="G50" s="1">
        <v>12.95</v>
      </c>
      <c r="H50">
        <v>2</v>
      </c>
    </row>
    <row r="51" spans="1:9">
      <c r="A51" s="1" t="s">
        <v>38</v>
      </c>
      <c r="B51" t="s">
        <v>115</v>
      </c>
      <c r="C51" s="3" t="s">
        <v>116</v>
      </c>
      <c r="F51" t="s">
        <v>22</v>
      </c>
      <c r="G51" s="1">
        <v>5.95</v>
      </c>
      <c r="H51">
        <v>2</v>
      </c>
    </row>
    <row r="52" spans="1:9">
      <c r="A52" t="s">
        <v>177</v>
      </c>
      <c r="B52" t="s">
        <v>117</v>
      </c>
      <c r="C52" s="3" t="s">
        <v>118</v>
      </c>
      <c r="F52" t="s">
        <v>22</v>
      </c>
      <c r="G52" s="1">
        <v>24.95</v>
      </c>
      <c r="H52">
        <v>1</v>
      </c>
    </row>
    <row r="53" spans="1:9">
      <c r="A53" t="s">
        <v>178</v>
      </c>
      <c r="B53" t="s">
        <v>119</v>
      </c>
      <c r="C53" s="3" t="s">
        <v>120</v>
      </c>
      <c r="F53" t="s">
        <v>22</v>
      </c>
      <c r="G53" s="1">
        <v>17.95</v>
      </c>
      <c r="H53">
        <v>1</v>
      </c>
    </row>
    <row r="54" spans="1:9">
      <c r="A54" t="s">
        <v>33</v>
      </c>
      <c r="B54" t="s">
        <v>121</v>
      </c>
      <c r="C54" s="3" t="s">
        <v>179</v>
      </c>
      <c r="F54" t="s">
        <v>22</v>
      </c>
      <c r="G54" s="1">
        <v>15.95</v>
      </c>
      <c r="H54">
        <v>6</v>
      </c>
    </row>
    <row r="55" spans="1:9">
      <c r="A55" t="s">
        <v>36</v>
      </c>
      <c r="B55" t="s">
        <v>161</v>
      </c>
      <c r="C55" s="3" t="s">
        <v>180</v>
      </c>
      <c r="F55" t="s">
        <v>22</v>
      </c>
      <c r="G55" s="1">
        <v>15.95</v>
      </c>
      <c r="H55">
        <v>3</v>
      </c>
    </row>
    <row r="56" spans="1:9">
      <c r="A56" t="s">
        <v>181</v>
      </c>
      <c r="B56" t="s">
        <v>122</v>
      </c>
      <c r="C56" s="3" t="s">
        <v>123</v>
      </c>
      <c r="F56" t="s">
        <v>22</v>
      </c>
      <c r="G56" s="1">
        <v>15.95</v>
      </c>
      <c r="H56">
        <v>1</v>
      </c>
    </row>
    <row r="57" spans="1:9">
      <c r="A57" t="s">
        <v>165</v>
      </c>
      <c r="B57" t="s">
        <v>124</v>
      </c>
      <c r="C57" s="3" t="s">
        <v>125</v>
      </c>
      <c r="F57" t="s">
        <v>22</v>
      </c>
      <c r="G57" s="1">
        <v>6.95</v>
      </c>
      <c r="H57">
        <v>2</v>
      </c>
    </row>
    <row r="58" spans="1:9">
      <c r="A58" t="s">
        <v>182</v>
      </c>
      <c r="B58" t="s">
        <v>126</v>
      </c>
      <c r="C58" s="3" t="s">
        <v>127</v>
      </c>
      <c r="F58" t="s">
        <v>22</v>
      </c>
      <c r="G58" s="1">
        <v>13.95</v>
      </c>
      <c r="H58">
        <v>12</v>
      </c>
    </row>
    <row r="59" spans="1:9">
      <c r="A59" t="s">
        <v>183</v>
      </c>
      <c r="B59" t="s">
        <v>128</v>
      </c>
      <c r="C59" s="3" t="s">
        <v>129</v>
      </c>
      <c r="F59" t="s">
        <v>22</v>
      </c>
      <c r="G59" s="1">
        <v>3.95</v>
      </c>
      <c r="H59">
        <v>6</v>
      </c>
    </row>
    <row r="60" spans="1:9">
      <c r="A60" t="s">
        <v>23</v>
      </c>
      <c r="B60" t="s">
        <v>130</v>
      </c>
      <c r="C60" s="3" t="s">
        <v>131</v>
      </c>
      <c r="F60" t="s">
        <v>22</v>
      </c>
      <c r="G60" s="1">
        <v>2.95</v>
      </c>
      <c r="H60">
        <v>100</v>
      </c>
    </row>
    <row r="61" spans="1:9">
      <c r="A61" t="s">
        <v>185</v>
      </c>
      <c r="B61" t="s">
        <v>132</v>
      </c>
      <c r="C61" s="3" t="s">
        <v>133</v>
      </c>
      <c r="F61" t="s">
        <v>22</v>
      </c>
      <c r="G61" s="1">
        <v>9.9499999999999993</v>
      </c>
      <c r="H61">
        <v>100</v>
      </c>
      <c r="I61">
        <v>1</v>
      </c>
    </row>
    <row r="62" spans="1:9" ht="25.5">
      <c r="A62" t="s">
        <v>184</v>
      </c>
      <c r="B62" t="s">
        <v>134</v>
      </c>
      <c r="C62" s="3" t="s">
        <v>135</v>
      </c>
      <c r="F62" t="s">
        <v>22</v>
      </c>
      <c r="G62" s="1">
        <v>9.9499999999999993</v>
      </c>
      <c r="H62">
        <v>100</v>
      </c>
      <c r="I62">
        <v>1</v>
      </c>
    </row>
    <row r="63" spans="1:9">
      <c r="A63" t="s">
        <v>186</v>
      </c>
      <c r="B63" t="s">
        <v>136</v>
      </c>
      <c r="C63" s="3" t="s">
        <v>137</v>
      </c>
      <c r="F63" t="s">
        <v>22</v>
      </c>
      <c r="G63" s="1">
        <v>1.95</v>
      </c>
      <c r="H63">
        <v>12</v>
      </c>
      <c r="I63">
        <v>1</v>
      </c>
    </row>
    <row r="64" spans="1:9">
      <c r="A64" t="s">
        <v>187</v>
      </c>
      <c r="B64" t="s">
        <v>138</v>
      </c>
      <c r="C64" s="3" t="s">
        <v>139</v>
      </c>
      <c r="F64" t="s">
        <v>22</v>
      </c>
      <c r="G64" s="1">
        <v>0.95</v>
      </c>
      <c r="H64">
        <v>6</v>
      </c>
    </row>
    <row r="65" spans="1:8">
      <c r="A65" t="s">
        <v>188</v>
      </c>
      <c r="B65" s="2" t="s">
        <v>140</v>
      </c>
      <c r="C65" s="3" t="s">
        <v>141</v>
      </c>
      <c r="F65" t="s">
        <v>22</v>
      </c>
      <c r="G65" s="1">
        <v>3.95</v>
      </c>
      <c r="H65">
        <v>12</v>
      </c>
    </row>
    <row r="66" spans="1:8">
      <c r="A66" t="s">
        <v>189</v>
      </c>
      <c r="B66" t="s">
        <v>142</v>
      </c>
      <c r="C66" s="3" t="s">
        <v>143</v>
      </c>
      <c r="F66" t="s">
        <v>22</v>
      </c>
      <c r="G66" s="1">
        <v>4.95</v>
      </c>
      <c r="H66">
        <v>12</v>
      </c>
    </row>
    <row r="67" spans="1:8">
      <c r="A67" t="s">
        <v>190</v>
      </c>
      <c r="B67" t="s">
        <v>144</v>
      </c>
      <c r="C67" s="3" t="s">
        <v>148</v>
      </c>
      <c r="F67" t="s">
        <v>22</v>
      </c>
      <c r="G67" s="1">
        <v>8.9499999999999993</v>
      </c>
      <c r="H67">
        <v>50</v>
      </c>
    </row>
    <row r="68" spans="1:8">
      <c r="A68" t="s">
        <v>191</v>
      </c>
      <c r="B68" t="s">
        <v>145</v>
      </c>
      <c r="C68" s="3" t="s">
        <v>149</v>
      </c>
      <c r="F68" t="s">
        <v>22</v>
      </c>
      <c r="G68" s="1">
        <v>12</v>
      </c>
      <c r="H68">
        <v>12</v>
      </c>
    </row>
    <row r="69" spans="1:8">
      <c r="A69" t="s">
        <v>192</v>
      </c>
      <c r="B69" t="s">
        <v>146</v>
      </c>
      <c r="C69" s="3" t="s">
        <v>150</v>
      </c>
      <c r="F69" t="s">
        <v>22</v>
      </c>
      <c r="G69" s="1">
        <v>6.95</v>
      </c>
      <c r="H69">
        <v>2</v>
      </c>
    </row>
    <row r="70" spans="1:8">
      <c r="B70" t="s">
        <v>146</v>
      </c>
      <c r="C70" s="3" t="s">
        <v>151</v>
      </c>
      <c r="F70" t="s">
        <v>22</v>
      </c>
    </row>
    <row r="71" spans="1:8" ht="25.5">
      <c r="A71" t="s">
        <v>28</v>
      </c>
      <c r="B71" t="s">
        <v>146</v>
      </c>
      <c r="C71" s="3" t="s">
        <v>152</v>
      </c>
      <c r="F71" t="s">
        <v>22</v>
      </c>
      <c r="G71" s="1">
        <v>24.95</v>
      </c>
      <c r="H71">
        <v>1</v>
      </c>
    </row>
    <row r="72" spans="1:8">
      <c r="A72" t="s">
        <v>173</v>
      </c>
      <c r="B72" t="s">
        <v>147</v>
      </c>
      <c r="C72" s="3" t="s">
        <v>153</v>
      </c>
      <c r="F72" t="s">
        <v>22</v>
      </c>
      <c r="G72" s="1">
        <v>4.95</v>
      </c>
      <c r="H72">
        <v>2</v>
      </c>
    </row>
    <row r="73" spans="1:8">
      <c r="A73" t="s">
        <v>165</v>
      </c>
      <c r="B73" t="s">
        <v>161</v>
      </c>
      <c r="C73" s="3" t="s">
        <v>164</v>
      </c>
      <c r="F73" t="s">
        <v>22</v>
      </c>
      <c r="G73" s="1">
        <v>6.95</v>
      </c>
      <c r="H73">
        <v>2</v>
      </c>
    </row>
    <row r="74" spans="1:8">
      <c r="A74" t="s">
        <v>195</v>
      </c>
      <c r="B74" t="s">
        <v>194</v>
      </c>
      <c r="C74" s="3" t="s">
        <v>193</v>
      </c>
      <c r="F74" t="s">
        <v>22</v>
      </c>
      <c r="G74" s="1">
        <v>15.95</v>
      </c>
      <c r="H74">
        <v>1</v>
      </c>
    </row>
    <row r="77" spans="1:8">
      <c r="A77" t="s">
        <v>198</v>
      </c>
      <c r="B77" t="s">
        <v>197</v>
      </c>
      <c r="C77" s="3" t="s">
        <v>199</v>
      </c>
      <c r="D77" t="s">
        <v>201</v>
      </c>
      <c r="F77" t="s">
        <v>200</v>
      </c>
      <c r="G77" s="1">
        <v>25</v>
      </c>
      <c r="H77">
        <v>1</v>
      </c>
    </row>
    <row r="79" spans="1:8" ht="25.5">
      <c r="A79" t="s">
        <v>202</v>
      </c>
      <c r="B79" t="s">
        <v>205</v>
      </c>
      <c r="C79" s="3" t="s">
        <v>206</v>
      </c>
      <c r="D79" t="s">
        <v>203</v>
      </c>
      <c r="F79" t="s">
        <v>204</v>
      </c>
      <c r="G79" s="1">
        <v>5</v>
      </c>
      <c r="H79">
        <v>1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order (3)</vt:lpstr>
      <vt:lpstr>order</vt:lpstr>
      <vt:lpstr>order (2)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Mike McMillan</cp:lastModifiedBy>
  <cp:revision>4</cp:revision>
  <dcterms:created xsi:type="dcterms:W3CDTF">2015-08-27T18:44:15Z</dcterms:created>
  <dcterms:modified xsi:type="dcterms:W3CDTF">2015-09-22T13:58:35Z</dcterms:modified>
  <dc:language>en-US</dc:language>
</cp:coreProperties>
</file>