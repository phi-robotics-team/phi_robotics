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 activeTab="5"/>
  </bookViews>
  <sheets>
    <sheet name="order (4)" sheetId="5" r:id="rId1"/>
    <sheet name="order (3)" sheetId="4" r:id="rId2"/>
    <sheet name="order" sheetId="2" r:id="rId3"/>
    <sheet name="order (2)" sheetId="3" r:id="rId4"/>
    <sheet name="Sheet1" sheetId="1" r:id="rId5"/>
    <sheet name="20151101" sheetId="7" r:id="rId6"/>
  </sheets>
  <definedNames>
    <definedName name="_xlnm._FilterDatabase" localSheetId="0" hidden="1">'order (4)'!$A$2:$M$60</definedName>
  </definedNames>
  <calcPr calcId="125725"/>
</workbook>
</file>

<file path=xl/calcChain.xml><?xml version="1.0" encoding="utf-8"?>
<calcChain xmlns="http://schemas.openxmlformats.org/spreadsheetml/2006/main">
  <c r="K112" i="7"/>
  <c r="K75"/>
  <c r="K76"/>
  <c r="K77"/>
  <c r="K63"/>
  <c r="K111"/>
  <c r="K107"/>
  <c r="K108"/>
  <c r="K32"/>
  <c r="K90"/>
  <c r="K85"/>
  <c r="K86"/>
  <c r="K89"/>
  <c r="K128"/>
  <c r="K129"/>
  <c r="K130"/>
  <c r="K127"/>
  <c r="K126"/>
  <c r="K125"/>
  <c r="K122"/>
  <c r="K121"/>
  <c r="K120"/>
  <c r="K117"/>
  <c r="K116"/>
  <c r="K106"/>
  <c r="K105"/>
  <c r="K104"/>
  <c r="K100"/>
  <c r="K99"/>
  <c r="K98"/>
  <c r="K97"/>
  <c r="K96"/>
  <c r="K95"/>
  <c r="K94"/>
  <c r="K84"/>
  <c r="K80"/>
  <c r="K72"/>
  <c r="K71"/>
  <c r="K70"/>
  <c r="K62"/>
  <c r="K61"/>
  <c r="K60"/>
  <c r="K57"/>
  <c r="K56"/>
  <c r="K55"/>
  <c r="K54"/>
  <c r="K53"/>
  <c r="K52"/>
  <c r="K51"/>
  <c r="K50"/>
  <c r="K49"/>
  <c r="K48"/>
  <c r="K47"/>
  <c r="K44"/>
  <c r="K43"/>
  <c r="K42"/>
  <c r="K41"/>
  <c r="K40"/>
  <c r="K39"/>
  <c r="K36"/>
  <c r="K35"/>
  <c r="K34"/>
  <c r="K33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K5" i="5"/>
  <c r="K4"/>
  <c r="E20"/>
  <c r="E19"/>
  <c r="E18"/>
  <c r="E17"/>
  <c r="E16"/>
  <c r="K9"/>
  <c r="K10"/>
  <c r="K13"/>
  <c r="K97"/>
  <c r="K12"/>
  <c r="K6"/>
  <c r="K8"/>
  <c r="K15"/>
  <c r="K14"/>
  <c r="K86"/>
  <c r="K87"/>
  <c r="K126"/>
  <c r="K125"/>
  <c r="K129"/>
  <c r="K127"/>
  <c r="K121"/>
  <c r="K120"/>
  <c r="K119"/>
  <c r="K122"/>
  <c r="K115"/>
  <c r="K112"/>
  <c r="K111"/>
  <c r="K110"/>
  <c r="K106"/>
  <c r="K105"/>
  <c r="K104"/>
  <c r="K103"/>
  <c r="K102"/>
  <c r="K101"/>
  <c r="K100"/>
  <c r="K85"/>
  <c r="K2"/>
  <c r="K55"/>
  <c r="K88"/>
  <c r="K45"/>
  <c r="K61"/>
  <c r="K44"/>
  <c r="K128"/>
  <c r="K56"/>
  <c r="K3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37"/>
  <c r="K36"/>
  <c r="K25"/>
  <c r="K31"/>
  <c r="K30"/>
  <c r="K27"/>
  <c r="K26"/>
  <c r="K24"/>
  <c r="K23"/>
  <c r="K22"/>
  <c r="K11"/>
  <c r="K21"/>
  <c r="K20"/>
  <c r="K19"/>
  <c r="K18"/>
  <c r="K17"/>
  <c r="K16"/>
  <c r="K70" i="4"/>
  <c r="K93"/>
  <c r="K94"/>
  <c r="K105"/>
  <c r="K104"/>
  <c r="K103"/>
  <c r="K102"/>
  <c r="K99"/>
  <c r="K98"/>
  <c r="K97"/>
  <c r="K90"/>
  <c r="K89"/>
  <c r="K88"/>
  <c r="K84"/>
  <c r="K83"/>
  <c r="K82"/>
  <c r="K81"/>
  <c r="K80"/>
  <c r="K79"/>
  <c r="K78"/>
  <c r="K74"/>
  <c r="K73"/>
  <c r="K66"/>
  <c r="K65"/>
  <c r="K64"/>
  <c r="K61"/>
  <c r="K60"/>
  <c r="K59"/>
  <c r="K56"/>
  <c r="K55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J85" i="3"/>
  <c r="K26" i="2"/>
  <c r="K61"/>
  <c r="K13"/>
  <c r="K35"/>
  <c r="K34"/>
  <c r="K33"/>
  <c r="J84" i="3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43" i="2"/>
  <c r="K42"/>
  <c r="K65"/>
  <c r="K66"/>
  <c r="K38"/>
  <c r="K54"/>
  <c r="K73"/>
  <c r="K56"/>
  <c r="K87"/>
  <c r="K40"/>
  <c r="K72"/>
  <c r="K86"/>
  <c r="K88"/>
  <c r="K60"/>
  <c r="K10"/>
  <c r="K11"/>
  <c r="K7"/>
  <c r="K6"/>
  <c r="K5"/>
  <c r="K4"/>
  <c r="K3"/>
  <c r="K16"/>
  <c r="K17"/>
  <c r="K20"/>
  <c r="K48"/>
  <c r="K47"/>
  <c r="K39"/>
  <c r="K50"/>
  <c r="K41"/>
  <c r="K102"/>
  <c r="K27"/>
  <c r="K79"/>
  <c r="K80"/>
  <c r="K81"/>
  <c r="K28"/>
  <c r="K29"/>
  <c r="K100"/>
  <c r="K101"/>
  <c r="K82"/>
  <c r="K103"/>
  <c r="K52"/>
  <c r="K51"/>
  <c r="K46"/>
  <c r="K55"/>
  <c r="K64"/>
  <c r="K97"/>
  <c r="K96"/>
  <c r="K95"/>
  <c r="K53"/>
  <c r="K49"/>
  <c r="K92"/>
  <c r="K91"/>
  <c r="K32"/>
  <c r="K24"/>
  <c r="K23"/>
  <c r="K106" s="1"/>
  <c r="K25"/>
  <c r="K59"/>
  <c r="K78"/>
  <c r="K77"/>
  <c r="K76"/>
  <c r="K1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139" i="7" l="1"/>
  <c r="K108" i="4"/>
</calcChain>
</file>

<file path=xl/comments1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3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4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5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6.xml><?xml version="1.0" encoding="utf-8"?>
<comments xmlns="http://schemas.openxmlformats.org/spreadsheetml/2006/main">
  <authors>
    <author>Mike McMillan</author>
  </authors>
  <commentList>
    <comment ref="J57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<sst xmlns="http://schemas.openxmlformats.org/spreadsheetml/2006/main" count="1910" uniqueCount="370">
  <si>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</si>
  <si>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</si>
  <si>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</si>
  <si>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</si>
  <si>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</si>
  <si>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</si>
  <si>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</si>
  <si>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</si>
  <si>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</si>
  <si>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</si>
  <si>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</si>
  <si>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</si>
  <si>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</si>
  <si>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</si>
  <si>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</si>
  <si>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</si>
  <si>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</si>
  <si>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</si>
  <si>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</si>
  <si>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</si>
  <si>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</si>
  <si>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</si>
  <si>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</si>
  <si>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</si>
  <si>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</si>
  <si>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</si>
  <si>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</si>
  <si>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</si>
  <si>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</si>
  <si>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</si>
  <si>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</si>
  <si>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</si>
  <si>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</si>
  <si>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</si>
  <si>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</si>
  <si>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</si>
  <si>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</si>
  <si>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</si>
  <si>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</si>
  <si>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</si>
  <si>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</si>
  <si>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</si>
  <si>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</si>
  <si>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</si>
  <si>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</si>
  <si>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</si>
  <si>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</si>
  <si>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</si>
  <si>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</si>
  <si>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</si>
  <si>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</si>
  <si>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</si>
  <si>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</si>
  <si>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</si>
  <si>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</si>
  <si>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</si>
  <si>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</si>
  <si>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</si>
  <si>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</si>
  <si>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</si>
  <si>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</si>
  <si>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</si>
  <si>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</si>
  <si>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</si>
  <si>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</si>
  <si>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</si>
  <si>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</si>
  <si>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</si>
  <si>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</si>
  <si>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</si>
  <si>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</si>
  <si>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</si>
  <si>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</si>
  <si>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</si>
  <si>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</si>
  <si>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</si>
  <si>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</si>
  <si>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</si>
  <si>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</si>
  <si>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</si>
  <si>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</si>
  <si>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</si>
  <si>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</si>
  <si>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</si>
  <si>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</si>
  <si>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</si>
  <si>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</si>
  <si>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</si>
  <si>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</si>
  <si>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</si>
  <si>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</si>
  <si>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</si>
  <si>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</si>
  <si>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</si>
  <si>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</si>
  <si>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</si>
  <si>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</si>
  <si>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</si>
  <si>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</si>
  <si>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</si>
  <si>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</si>
  <si>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</si>
  <si>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</si>
  <si>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</si>
  <si>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</si>
  <si>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</si>
  <si>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</si>
  <si>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</si>
  <si>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</si>
  <si>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</si>
  <si>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</si>
  <si>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</si>
  <si>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</si>
  <si>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</si>
  <si>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</si>
  <si>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</si>
  <si>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</si>
  <si>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</si>
  <si>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</si>
  <si>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</si>
  <si>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</si>
  <si>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</si>
  <si>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</si>
  <si>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</si>
  <si>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</si>
  <si>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</si>
  <si>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</si>
  <si>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</si>
  <si>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</si>
  <si>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</si>
  <si>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</si>
  <si>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</si>
  <si>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</si>
  <si>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</si>
  <si>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</si>
  <si>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</si>
  <si>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</si>
  <si>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</si>
  <si>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</si>
  <si>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</si>
  <si>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</si>
  <si>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</si>
  <si>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</si>
  <si>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</si>
  <si>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</si>
  <si>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</si>
  <si>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</si>
  <si>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</si>
  <si>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</si>
  <si>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</si>
  <si>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</si>
  <si>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</si>
  <si>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</si>
  <si>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</si>
  <si>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</si>
  <si>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</si>
  <si>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</si>
  <si>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</si>
  <si>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</si>
  <si>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</si>
  <si>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</si>
  <si>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</si>
  <si>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</si>
  <si>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</si>
  <si>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</si>
  <si>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</si>
  <si>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</si>
  <si>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</si>
  <si>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</si>
  <si>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</si>
  <si>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</si>
  <si>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</si>
  <si>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</si>
  <si>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</si>
  <si>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</si>
  <si>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</si>
  <si>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</si>
  <si>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</si>
  <si>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</si>
  <si>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</si>
  <si>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</si>
  <si>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</si>
  <si>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</si>
  <si>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</si>
  <si>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</si>
  <si>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</si>
  <si>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</si>
  <si>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</si>
  <si>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</si>
  <si>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</si>
  <si>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</si>
  <si>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</si>
  <si>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</si>
  <si>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</si>
  <si>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</si>
  <si>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</si>
  <si>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</si>
  <si>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</si>
  <si>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</si>
  <si>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</si>
  <si>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</si>
  <si>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</si>
  <si>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</si>
  <si>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</si>
  <si>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</si>
  <si>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</si>
  <si>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</si>
  <si>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</si>
  <si>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</si>
  <si>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</si>
  <si>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</si>
  <si>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</si>
  <si>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</si>
  <si>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</si>
  <si>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</si>
  <si>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</si>
  <si>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</si>
  <si>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</si>
  <si>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</si>
  <si>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</si>
  <si>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</si>
  <si>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</si>
  <si>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</si>
  <si>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</si>
  <si>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</si>
  <si>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</si>
  <si>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</si>
  <si>
    <t>Brackets</t>
  </si>
  <si>
    <t>Channels</t>
  </si>
  <si>
    <t>Angles</t>
  </si>
  <si>
    <t>Flat Building Plate</t>
  </si>
  <si>
    <t>Plates</t>
  </si>
  <si>
    <t>Wheels</t>
  </si>
  <si>
    <t>Axles/Shafts</t>
  </si>
  <si>
    <t>Screws/Nuts</t>
  </si>
  <si>
    <t>Servo's</t>
  </si>
  <si>
    <t>Chains/Sprockets</t>
  </si>
  <si>
    <t>Batteries</t>
  </si>
  <si>
    <t>Tools</t>
  </si>
  <si>
    <t>Miscellaneous Small Parts</t>
  </si>
  <si>
    <t>Motors</t>
  </si>
  <si>
    <t>Controllers / Power distribution</t>
  </si>
  <si>
    <t>12 Volt - NIMH</t>
  </si>
  <si>
    <t>Gears</t>
  </si>
  <si>
    <t>Wires</t>
  </si>
  <si>
    <t>Coiled wire (McMaster-Carr)</t>
  </si>
  <si>
    <t>Power (14 gauge (black white)</t>
  </si>
  <si>
    <t>thread pulleys</t>
  </si>
  <si>
    <t xml:space="preserve"> (McMaster-Carr)</t>
  </si>
  <si>
    <t>Retracting Cable (300V AC-Light Duty)</t>
  </si>
  <si>
    <t>18 Gauge 2 wire</t>
  </si>
  <si>
    <t>TETRIX MAX Omni Wheel Pack</t>
  </si>
  <si>
    <t>4 inch</t>
  </si>
  <si>
    <t>W36466</t>
  </si>
  <si>
    <t>W39104</t>
  </si>
  <si>
    <t>7/64, 3/32, 1/16, 5/64</t>
  </si>
  <si>
    <t>7088k211</t>
  </si>
  <si>
    <t>2ft, 18ga</t>
  </si>
  <si>
    <t>4"</t>
  </si>
  <si>
    <t>Color Sensor</t>
  </si>
  <si>
    <t>Polycarbonate</t>
  </si>
  <si>
    <t>Tread &amp; Inserts</t>
  </si>
  <si>
    <t>Check with Caddics</t>
  </si>
  <si>
    <t>Tread Kits</t>
  </si>
  <si>
    <t>W36468</t>
  </si>
  <si>
    <t>Tetrix Max Tank Tread Kit</t>
  </si>
  <si>
    <t>Pitsco (Tetrix)</t>
  </si>
  <si>
    <t>W36464</t>
  </si>
  <si>
    <t>Tetrix Max Tank Tread Inserts</t>
  </si>
  <si>
    <t>9697T2</t>
  </si>
  <si>
    <t>Easy-ID Low-Voltage Cable</t>
  </si>
  <si>
    <t>18 Gauge 2 wire black/red</t>
  </si>
  <si>
    <t>50ft, 18 ga</t>
  </si>
  <si>
    <t>18 gauge wire</t>
  </si>
  <si>
    <t>Polycarbonate Sheet</t>
  </si>
  <si>
    <t>Polycarbonate sheet</t>
  </si>
  <si>
    <t>Andy Mark</t>
  </si>
  <si>
    <t>AM-0980</t>
  </si>
  <si>
    <t>24"x24", 0.118"</t>
  </si>
  <si>
    <t>0.118"</t>
  </si>
  <si>
    <t>Core Device Interface Module</t>
  </si>
  <si>
    <t>AUA3030</t>
  </si>
  <si>
    <t>Modern Robotics, Inc.</t>
  </si>
  <si>
    <t>W39069/AZ39069</t>
  </si>
  <si>
    <t>W39068/AZ39068</t>
  </si>
  <si>
    <t>W39067/AZ39067</t>
  </si>
  <si>
    <t>W39066/AZ39066</t>
  </si>
  <si>
    <t>W39065/AZ39065</t>
  </si>
  <si>
    <t>W39085/AZ39085</t>
  </si>
  <si>
    <t>W39090/AZ39090</t>
  </si>
  <si>
    <t>W39055/AZ39055</t>
  </si>
  <si>
    <t>Velcro</t>
  </si>
  <si>
    <t>94985K911</t>
  </si>
  <si>
    <t>Super Adhesive-back General Purpose Hook and Loop</t>
  </si>
  <si>
    <t>2" x 5 ft</t>
  </si>
  <si>
    <t>McMaster-Carr</t>
  </si>
  <si>
    <t>W39061/AZ39061</t>
  </si>
  <si>
    <t>W39281/AZ39281</t>
  </si>
  <si>
    <t>W39270/AZ39270</t>
  </si>
  <si>
    <t>W39071/AZ39071</t>
  </si>
  <si>
    <t>W39072/AZ39072</t>
  </si>
  <si>
    <t>W39073/AZ39073</t>
  </si>
  <si>
    <t>W39088/AZ39088</t>
  </si>
  <si>
    <t>W35871/AZ35871</t>
  </si>
  <si>
    <t>W39092/AZ39092</t>
  </si>
  <si>
    <t>W39165/Az39165</t>
  </si>
  <si>
    <t>W39173/AZ39173</t>
  </si>
  <si>
    <t>W39171/AZ39171</t>
  </si>
  <si>
    <t>W39169/Az39169</t>
  </si>
  <si>
    <t>W31903/AZ31903</t>
  </si>
  <si>
    <t>GPF0310</t>
  </si>
  <si>
    <t>Logitec F310 Gamepad</t>
  </si>
  <si>
    <t>Sensors</t>
  </si>
  <si>
    <t>45-2018</t>
  </si>
  <si>
    <t>Modern Robotics, Inc</t>
  </si>
  <si>
    <t>Order if we can program the Hi technic sensor.</t>
  </si>
  <si>
    <t>Order if we go with the color sensor.</t>
  </si>
  <si>
    <t>McCloud may be getting wire</t>
  </si>
  <si>
    <t>73095K48</t>
  </si>
  <si>
    <t>Heat-Shrink Tubing Assortments</t>
  </si>
  <si>
    <t>AM-2964</t>
  </si>
  <si>
    <t>Nev Rest 40 Motor</t>
  </si>
  <si>
    <t>40:1 Motor</t>
  </si>
  <si>
    <t>Gyro</t>
  </si>
  <si>
    <t>HiTechnic</t>
  </si>
  <si>
    <t>am-3211</t>
  </si>
  <si>
    <t>Bonded Wire</t>
  </si>
  <si>
    <t>18 Gauge 2 wire 20''</t>
  </si>
  <si>
    <t xml:space="preserve">20'', 18 </t>
  </si>
  <si>
    <t xml:space="preserve"> McMaster-Carr</t>
  </si>
  <si>
    <t>Cables</t>
  </si>
  <si>
    <t>SKU:45-1122</t>
  </si>
  <si>
    <t>OTG USB Cable</t>
  </si>
  <si>
    <t>Power distribution to Android phone</t>
  </si>
  <si>
    <t>Modern Robotics</t>
  </si>
  <si>
    <t>SKU: 50-1003</t>
  </si>
  <si>
    <t>USB Mini Cable Kit</t>
  </si>
  <si>
    <t>Core Modules to the USB Hub</t>
  </si>
  <si>
    <t>out of Stock</t>
  </si>
  <si>
    <t>SKU: 50-1104</t>
  </si>
  <si>
    <t>Phone Mount Kit</t>
  </si>
  <si>
    <t>mounts phone to robot</t>
  </si>
  <si>
    <t xml:space="preserve">Modern Robotics </t>
  </si>
  <si>
    <t>Treads</t>
  </si>
  <si>
    <t xml:space="preserve">Pitsco (Tetrix) </t>
  </si>
  <si>
    <t>W39250</t>
  </si>
  <si>
    <t>Tetrix Max Tank Tread Accessory Pack</t>
  </si>
  <si>
    <t>W39174</t>
  </si>
  <si>
    <t>W39057</t>
  </si>
  <si>
    <t>W39129</t>
  </si>
  <si>
    <t>Tetrix</t>
  </si>
  <si>
    <t>On/Off Switch</t>
  </si>
  <si>
    <t>W39176</t>
  </si>
  <si>
    <t>Switch Mounting Bracket</t>
  </si>
  <si>
    <t>USB-USB mini Connector</t>
  </si>
  <si>
    <t>SKU: 45-2018</t>
  </si>
  <si>
    <t>SKU: 45-2005</t>
  </si>
  <si>
    <t>Integrating Gyro</t>
  </si>
  <si>
    <t>Out of Stock</t>
  </si>
  <si>
    <t>W39060</t>
  </si>
  <si>
    <t>W39280</t>
  </si>
  <si>
    <t>Tetrix Max Adjustable Servo Brackets</t>
  </si>
  <si>
    <t>W39090</t>
  </si>
  <si>
    <t>Cable Matters: Micro-USB 2.0 On-The-Go Adapter 6 inch</t>
  </si>
  <si>
    <t>Amazon</t>
  </si>
  <si>
    <t>Tetrix Max Sprocket and Chain Pack</t>
  </si>
  <si>
    <t>Look into smaller gauge - look for terminal strips - check ftc Rules</t>
  </si>
  <si>
    <t>Learn to use existing gyro first</t>
  </si>
  <si>
    <t>Do we need this?</t>
  </si>
  <si>
    <t>Re-think this - Treads have'nt been working -get spare track - skp paddles - do we want to use an Idler for a spool?</t>
  </si>
</sst>
</file>

<file path=xl/styles.xml><?xml version="1.0" encoding="utf-8"?>
<styleSheet xmlns="http://schemas.openxmlformats.org/spreadsheetml/2006/main">
  <numFmts count="2">
    <numFmt numFmtId="164" formatCode="[$$-409]#,##0.00;[Red]\-[$$-409]#,##0.00"/>
    <numFmt numFmtId="165" formatCode="0.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  <xf numFmtId="0" fontId="0" fillId="0" borderId="0" xfId="0" applyFont="1"/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  <xf numFmtId="0" fontId="0" fillId="5" borderId="0" xfId="0" applyFill="1"/>
    <xf numFmtId="0" fontId="0" fillId="5" borderId="0" xfId="0" applyFont="1" applyFill="1"/>
    <xf numFmtId="0" fontId="0" fillId="6" borderId="0" xfId="0" applyFill="1"/>
    <xf numFmtId="165" fontId="0" fillId="0" borderId="0" xfId="0" applyNumberFormat="1" applyFont="1"/>
    <xf numFmtId="165" fontId="0" fillId="0" borderId="0" xfId="0" applyNumberFormat="1"/>
    <xf numFmtId="164" fontId="0" fillId="5" borderId="0" xfId="0" applyNumberFormat="1" applyFont="1" applyFill="1"/>
    <xf numFmtId="0" fontId="0" fillId="6" borderId="0" xfId="0" applyFont="1" applyFill="1"/>
    <xf numFmtId="49" fontId="0" fillId="6" borderId="0" xfId="0" applyNumberFormat="1" applyFont="1" applyFill="1" applyAlignment="1">
      <alignment wrapText="1"/>
    </xf>
    <xf numFmtId="164" fontId="0" fillId="6" borderId="0" xfId="0" applyNumberFormat="1" applyFont="1" applyFill="1"/>
    <xf numFmtId="0" fontId="0" fillId="7" borderId="0" xfId="0" applyFont="1" applyFill="1"/>
    <xf numFmtId="49" fontId="0" fillId="7" borderId="0" xfId="0" applyNumberFormat="1" applyFont="1" applyFill="1" applyAlignment="1">
      <alignment wrapText="1"/>
    </xf>
    <xf numFmtId="164" fontId="0" fillId="7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wrapText="1"/>
    </xf>
    <xf numFmtId="49" fontId="0" fillId="6" borderId="0" xfId="0" applyNumberFormat="1" applyFill="1" applyAlignment="1">
      <alignment wrapText="1"/>
    </xf>
    <xf numFmtId="49" fontId="0" fillId="5" borderId="0" xfId="0" applyNumberFormat="1" applyFill="1" applyAlignment="1">
      <alignment wrapText="1"/>
    </xf>
    <xf numFmtId="164" fontId="0" fillId="3" borderId="0" xfId="0" applyNumberFormat="1" applyFont="1" applyFill="1"/>
    <xf numFmtId="164" fontId="0" fillId="5" borderId="0" xfId="0" applyNumberFormat="1" applyFill="1"/>
    <xf numFmtId="49" fontId="0" fillId="5" borderId="0" xfId="0" applyNumberFormat="1" applyFont="1" applyFill="1" applyAlignment="1">
      <alignment wrapText="1"/>
    </xf>
    <xf numFmtId="49" fontId="0" fillId="7" borderId="0" xfId="0" applyNumberFormat="1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37"/>
  <sheetViews>
    <sheetView zoomScaleNormal="100" workbookViewId="0">
      <pane ySplit="765" topLeftCell="A55" activePane="bottomLeft"/>
      <selection activeCell="M3" sqref="M3"/>
      <selection pane="bottomLeft" activeCell="C78" sqref="C78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3.5703125" style="6" customWidth="1"/>
    <col min="5" max="5" width="7.42578125" style="15" customWidth="1"/>
    <col min="6" max="6" width="6" style="5" customWidth="1"/>
    <col min="7" max="7" width="16.140625" style="5" customWidth="1"/>
    <col min="8" max="8" width="8.85546875" style="4" customWidth="1"/>
    <col min="9" max="9" width="10.28515625" style="5" customWidth="1"/>
    <col min="10" max="10" width="8.85546875" style="5" customWidth="1"/>
    <col min="11" max="11" width="9.140625" style="4"/>
    <col min="12" max="16384" width="9.140625" style="5"/>
  </cols>
  <sheetData>
    <row r="1" spans="2:13">
      <c r="B1" s="5" t="s">
        <v>0</v>
      </c>
      <c r="C1" s="5" t="s">
        <v>76</v>
      </c>
      <c r="D1" s="6" t="s">
        <v>1</v>
      </c>
      <c r="E1" s="1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2:13">
      <c r="B2" t="s">
        <v>256</v>
      </c>
      <c r="C2" t="s">
        <v>249</v>
      </c>
      <c r="D2" s="3" t="s">
        <v>250</v>
      </c>
      <c r="E2" s="16" t="s">
        <v>257</v>
      </c>
      <c r="G2" t="s">
        <v>329</v>
      </c>
      <c r="H2" s="4">
        <v>25.52</v>
      </c>
      <c r="I2" s="5">
        <v>1</v>
      </c>
      <c r="J2" s="5">
        <v>1</v>
      </c>
      <c r="K2" s="4">
        <f>H2*J2</f>
        <v>25.52</v>
      </c>
    </row>
    <row r="3" spans="2:13" ht="25.5">
      <c r="B3" s="5" t="s">
        <v>202</v>
      </c>
      <c r="C3" s="5" t="s">
        <v>205</v>
      </c>
      <c r="D3" s="6" t="s">
        <v>206</v>
      </c>
      <c r="E3" s="15" t="s">
        <v>203</v>
      </c>
      <c r="G3" t="s">
        <v>276</v>
      </c>
      <c r="H3" s="4">
        <v>5</v>
      </c>
      <c r="I3" s="5">
        <v>1</v>
      </c>
      <c r="J3" s="5">
        <v>8</v>
      </c>
      <c r="K3" s="4">
        <f>H3*J3</f>
        <v>40</v>
      </c>
    </row>
    <row r="4" spans="2:13">
      <c r="B4" s="5" t="s">
        <v>320</v>
      </c>
      <c r="C4" s="5" t="s">
        <v>321</v>
      </c>
      <c r="D4" s="3" t="s">
        <v>322</v>
      </c>
      <c r="G4" t="s">
        <v>276</v>
      </c>
      <c r="H4" s="4">
        <v>25</v>
      </c>
      <c r="I4" s="5">
        <v>1</v>
      </c>
      <c r="J4" s="5">
        <v>4</v>
      </c>
      <c r="K4" s="4">
        <f>H4*J4</f>
        <v>100</v>
      </c>
    </row>
    <row r="5" spans="2:13">
      <c r="B5" t="s">
        <v>325</v>
      </c>
      <c r="C5" t="s">
        <v>326</v>
      </c>
      <c r="D5" s="3" t="s">
        <v>327</v>
      </c>
      <c r="E5" s="16" t="s">
        <v>328</v>
      </c>
      <c r="G5" s="5" t="s">
        <v>276</v>
      </c>
      <c r="H5" s="4">
        <v>7</v>
      </c>
      <c r="I5" s="5">
        <v>25</v>
      </c>
      <c r="J5" s="5">
        <v>1</v>
      </c>
      <c r="K5" s="4">
        <f>H5*J5</f>
        <v>7</v>
      </c>
    </row>
    <row r="6" spans="2:13">
      <c r="B6" t="s">
        <v>277</v>
      </c>
      <c r="C6" t="s">
        <v>275</v>
      </c>
      <c r="D6" s="3" t="s">
        <v>278</v>
      </c>
      <c r="E6" s="16" t="s">
        <v>279</v>
      </c>
      <c r="G6" s="5" t="s">
        <v>276</v>
      </c>
      <c r="H6" s="4">
        <v>20</v>
      </c>
      <c r="I6" s="5">
        <v>1</v>
      </c>
      <c r="J6" s="5">
        <v>2</v>
      </c>
      <c r="K6" s="4">
        <f>H6*J6</f>
        <v>40</v>
      </c>
    </row>
    <row r="7" spans="2:13">
      <c r="B7"/>
      <c r="C7" s="5" t="s">
        <v>323</v>
      </c>
      <c r="G7" t="s">
        <v>324</v>
      </c>
      <c r="J7" s="11"/>
    </row>
    <row r="8" spans="2:13">
      <c r="B8" t="s">
        <v>269</v>
      </c>
      <c r="C8" t="s">
        <v>270</v>
      </c>
      <c r="D8" s="3" t="s">
        <v>271</v>
      </c>
      <c r="E8" s="16" t="s">
        <v>272</v>
      </c>
      <c r="G8" s="5" t="s">
        <v>64</v>
      </c>
      <c r="H8" s="4">
        <v>15.5</v>
      </c>
      <c r="I8" s="5">
        <v>1</v>
      </c>
      <c r="J8" s="13">
        <v>0</v>
      </c>
      <c r="K8" s="4">
        <f t="shared" ref="K8:K39" si="0">H8*J8</f>
        <v>0</v>
      </c>
      <c r="M8" t="s">
        <v>317</v>
      </c>
    </row>
    <row r="9" spans="2:13">
      <c r="B9" t="s">
        <v>318</v>
      </c>
      <c r="C9" t="s">
        <v>319</v>
      </c>
      <c r="D9" s="3"/>
      <c r="E9" s="16"/>
      <c r="G9" t="s">
        <v>64</v>
      </c>
      <c r="H9" s="4">
        <v>27.12</v>
      </c>
      <c r="I9" s="5">
        <v>1</v>
      </c>
      <c r="J9" s="13">
        <v>0</v>
      </c>
      <c r="K9" s="4">
        <f t="shared" si="0"/>
        <v>0</v>
      </c>
      <c r="M9"/>
    </row>
    <row r="10" spans="2:13">
      <c r="B10" t="s">
        <v>313</v>
      </c>
      <c r="C10" s="5" t="s">
        <v>259</v>
      </c>
      <c r="G10" t="s">
        <v>314</v>
      </c>
      <c r="H10" s="4">
        <v>36.950000000000003</v>
      </c>
      <c r="I10" s="5">
        <v>1</v>
      </c>
      <c r="J10" s="13">
        <v>0</v>
      </c>
      <c r="K10" s="4">
        <f t="shared" si="0"/>
        <v>0</v>
      </c>
      <c r="M10" t="s">
        <v>315</v>
      </c>
    </row>
    <row r="11" spans="2:13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 t="shared" si="0"/>
        <v>0</v>
      </c>
    </row>
    <row r="12" spans="2:13">
      <c r="B12" t="s">
        <v>281</v>
      </c>
      <c r="C12" s="5" t="s">
        <v>280</v>
      </c>
      <c r="G12" t="s">
        <v>282</v>
      </c>
      <c r="H12" s="4">
        <v>67.95</v>
      </c>
      <c r="I12" s="5">
        <v>1</v>
      </c>
      <c r="J12" s="13">
        <v>0</v>
      </c>
      <c r="K12" s="4">
        <f t="shared" si="0"/>
        <v>0</v>
      </c>
      <c r="M12" t="s">
        <v>316</v>
      </c>
    </row>
    <row r="13" spans="2:13">
      <c r="B13" t="s">
        <v>310</v>
      </c>
      <c r="C13" s="5" t="s">
        <v>311</v>
      </c>
      <c r="G13" t="s">
        <v>282</v>
      </c>
      <c r="H13" s="4">
        <v>24.95</v>
      </c>
      <c r="I13" s="5">
        <v>1</v>
      </c>
      <c r="J13" s="11">
        <v>1</v>
      </c>
      <c r="K13" s="4">
        <f t="shared" si="0"/>
        <v>24.95</v>
      </c>
    </row>
    <row r="14" spans="2:13">
      <c r="B14" t="s">
        <v>264</v>
      </c>
      <c r="C14" t="s">
        <v>265</v>
      </c>
      <c r="D14" s="3"/>
      <c r="E14" s="16"/>
      <c r="G14" s="5" t="s">
        <v>266</v>
      </c>
      <c r="H14" s="4">
        <v>99.95</v>
      </c>
      <c r="I14" s="5">
        <v>1</v>
      </c>
      <c r="J14" s="5">
        <v>1</v>
      </c>
      <c r="K14" s="4">
        <f t="shared" si="0"/>
        <v>99.95</v>
      </c>
    </row>
    <row r="15" spans="2:13">
      <c r="B15" t="s">
        <v>267</v>
      </c>
      <c r="C15" t="s">
        <v>268</v>
      </c>
      <c r="D15" s="3"/>
      <c r="E15" s="16"/>
      <c r="G15" s="5" t="s">
        <v>266</v>
      </c>
      <c r="H15" s="4">
        <v>17.95</v>
      </c>
      <c r="I15" s="5">
        <v>1</v>
      </c>
      <c r="J15" s="5">
        <v>1</v>
      </c>
      <c r="K15" s="4">
        <f t="shared" si="0"/>
        <v>17.95</v>
      </c>
    </row>
    <row r="16" spans="2:13">
      <c r="B16" t="s">
        <v>283</v>
      </c>
      <c r="C16" s="5" t="s">
        <v>107</v>
      </c>
      <c r="D16" s="6" t="s">
        <v>108</v>
      </c>
      <c r="E16" s="16">
        <f>416/25.4</f>
        <v>16.377952755905511</v>
      </c>
      <c r="G16" s="5" t="s">
        <v>22</v>
      </c>
      <c r="H16" s="4">
        <v>17.95</v>
      </c>
      <c r="I16" s="5">
        <v>1</v>
      </c>
      <c r="J16" s="5">
        <v>0</v>
      </c>
      <c r="K16" s="4">
        <f t="shared" si="0"/>
        <v>0</v>
      </c>
    </row>
    <row r="17" spans="1:13">
      <c r="B17" t="s">
        <v>284</v>
      </c>
      <c r="C17" s="5" t="s">
        <v>105</v>
      </c>
      <c r="D17" s="6" t="s">
        <v>106</v>
      </c>
      <c r="E17" s="16">
        <f>288/25.4</f>
        <v>11.338582677165356</v>
      </c>
      <c r="G17" s="5" t="s">
        <v>22</v>
      </c>
      <c r="H17" s="4">
        <v>27.95</v>
      </c>
      <c r="I17" s="5">
        <v>2</v>
      </c>
      <c r="J17" s="5">
        <v>1</v>
      </c>
      <c r="K17" s="4">
        <f t="shared" si="0"/>
        <v>27.95</v>
      </c>
    </row>
    <row r="18" spans="1:13">
      <c r="B18" t="s">
        <v>285</v>
      </c>
      <c r="C18" s="5" t="s">
        <v>103</v>
      </c>
      <c r="D18" s="6" t="s">
        <v>104</v>
      </c>
      <c r="E18" s="16">
        <f>160/25.4</f>
        <v>6.2992125984251972</v>
      </c>
      <c r="G18" s="5" t="s">
        <v>22</v>
      </c>
      <c r="H18" s="4">
        <v>16.95</v>
      </c>
      <c r="I18" s="5">
        <v>2</v>
      </c>
      <c r="J18" s="5">
        <v>1</v>
      </c>
      <c r="K18" s="4">
        <f t="shared" si="0"/>
        <v>16.95</v>
      </c>
    </row>
    <row r="19" spans="1:13">
      <c r="B19" t="s">
        <v>286</v>
      </c>
      <c r="C19" s="5" t="s">
        <v>101</v>
      </c>
      <c r="D19" s="6" t="s">
        <v>102</v>
      </c>
      <c r="E19" s="16">
        <f>96/25.4</f>
        <v>3.7795275590551185</v>
      </c>
      <c r="G19" s="5" t="s">
        <v>22</v>
      </c>
      <c r="H19" s="4">
        <v>11.95</v>
      </c>
      <c r="I19" s="5">
        <v>2</v>
      </c>
      <c r="J19" s="5">
        <v>3</v>
      </c>
      <c r="K19" s="4">
        <f t="shared" si="0"/>
        <v>35.849999999999994</v>
      </c>
    </row>
    <row r="20" spans="1:13">
      <c r="B20" t="s">
        <v>287</v>
      </c>
      <c r="C20" s="5" t="s">
        <v>99</v>
      </c>
      <c r="D20" s="6" t="s">
        <v>100</v>
      </c>
      <c r="E20" s="16">
        <f>32/25.4</f>
        <v>1.2598425196850394</v>
      </c>
      <c r="G20" s="5" t="s">
        <v>22</v>
      </c>
      <c r="H20" s="4">
        <v>9.9499999999999993</v>
      </c>
      <c r="I20" s="5">
        <v>2</v>
      </c>
      <c r="J20" s="5">
        <v>2</v>
      </c>
      <c r="K20" s="4">
        <f t="shared" si="0"/>
        <v>19.899999999999999</v>
      </c>
    </row>
    <row r="21" spans="1:13">
      <c r="B21" t="s">
        <v>296</v>
      </c>
      <c r="C21" s="5" t="s">
        <v>95</v>
      </c>
      <c r="D21" s="6" t="s">
        <v>96</v>
      </c>
      <c r="G21" s="5" t="s">
        <v>22</v>
      </c>
      <c r="H21" s="4">
        <v>5.95</v>
      </c>
      <c r="I21" s="5">
        <v>2</v>
      </c>
      <c r="J21" s="5">
        <v>4</v>
      </c>
      <c r="K21" s="4">
        <f t="shared" si="0"/>
        <v>23.8</v>
      </c>
    </row>
    <row r="22" spans="1:13">
      <c r="B22" t="s">
        <v>297</v>
      </c>
      <c r="D22" s="6" t="s">
        <v>14</v>
      </c>
      <c r="G22" s="5" t="s">
        <v>12</v>
      </c>
      <c r="H22" s="4">
        <v>4.95</v>
      </c>
      <c r="I22" s="5">
        <v>2</v>
      </c>
      <c r="J22" s="5">
        <v>3</v>
      </c>
      <c r="K22" s="4">
        <f t="shared" si="0"/>
        <v>14.850000000000001</v>
      </c>
    </row>
    <row r="23" spans="1:13">
      <c r="B23" t="s">
        <v>298</v>
      </c>
      <c r="C23" s="5" t="s">
        <v>147</v>
      </c>
      <c r="D23" s="6" t="s">
        <v>153</v>
      </c>
      <c r="G23" s="5" t="s">
        <v>22</v>
      </c>
      <c r="H23" s="4">
        <v>4.95</v>
      </c>
      <c r="I23" s="5">
        <v>2</v>
      </c>
      <c r="J23" s="5">
        <v>4</v>
      </c>
      <c r="K23" s="4">
        <f t="shared" si="0"/>
        <v>19.8</v>
      </c>
    </row>
    <row r="24" spans="1:13">
      <c r="B24" t="s">
        <v>299</v>
      </c>
      <c r="C24" s="5" t="s">
        <v>109</v>
      </c>
      <c r="D24" s="6" t="s">
        <v>110</v>
      </c>
      <c r="G24" s="5" t="s">
        <v>22</v>
      </c>
      <c r="H24" s="4">
        <v>13.95</v>
      </c>
      <c r="I24" s="5">
        <v>2</v>
      </c>
      <c r="J24" s="5">
        <v>2</v>
      </c>
      <c r="K24" s="4">
        <f t="shared" si="0"/>
        <v>27.9</v>
      </c>
    </row>
    <row r="25" spans="1:13" hidden="1">
      <c r="B25" s="5" t="s">
        <v>30</v>
      </c>
      <c r="D25" s="6" t="s">
        <v>31</v>
      </c>
      <c r="E25" s="1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 t="shared" si="0"/>
        <v>0</v>
      </c>
    </row>
    <row r="26" spans="1:13" customFormat="1">
      <c r="A26" s="5"/>
      <c r="B26" t="s">
        <v>300</v>
      </c>
      <c r="C26" s="5" t="s">
        <v>111</v>
      </c>
      <c r="D26" s="6" t="s">
        <v>112</v>
      </c>
      <c r="E26" s="15"/>
      <c r="F26" s="5"/>
      <c r="G26" s="5" t="s">
        <v>22</v>
      </c>
      <c r="H26" s="4">
        <v>10.95</v>
      </c>
      <c r="I26" s="5">
        <v>2</v>
      </c>
      <c r="J26" s="5">
        <v>2</v>
      </c>
      <c r="K26" s="4">
        <f t="shared" si="0"/>
        <v>21.9</v>
      </c>
      <c r="L26" s="5"/>
      <c r="M26" s="5"/>
    </row>
    <row r="27" spans="1:13">
      <c r="B27" t="s">
        <v>301</v>
      </c>
      <c r="C27" s="5" t="s">
        <v>113</v>
      </c>
      <c r="D27" s="6" t="s">
        <v>230</v>
      </c>
      <c r="G27" s="5" t="s">
        <v>22</v>
      </c>
      <c r="H27" s="4">
        <v>12.95</v>
      </c>
      <c r="I27" s="5">
        <v>2</v>
      </c>
      <c r="J27" s="5">
        <v>1</v>
      </c>
      <c r="K27" s="4">
        <f t="shared" si="0"/>
        <v>12.95</v>
      </c>
    </row>
    <row r="28" spans="1:13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 t="shared" si="0"/>
        <v>0</v>
      </c>
    </row>
    <row r="29" spans="1:13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 t="shared" si="0"/>
        <v>0</v>
      </c>
    </row>
    <row r="30" spans="1:13">
      <c r="B30" t="s">
        <v>302</v>
      </c>
      <c r="D30" s="6" t="s">
        <v>32</v>
      </c>
      <c r="E30" s="15" t="s">
        <v>35</v>
      </c>
      <c r="G30" s="5" t="s">
        <v>22</v>
      </c>
      <c r="H30" s="4">
        <v>15.95</v>
      </c>
      <c r="I30" s="5">
        <v>6</v>
      </c>
      <c r="J30" s="5">
        <v>1</v>
      </c>
      <c r="K30" s="4">
        <f t="shared" si="0"/>
        <v>15.95</v>
      </c>
    </row>
    <row r="31" spans="1:13" ht="14.25" customHeight="1">
      <c r="B31" t="s">
        <v>303</v>
      </c>
      <c r="D31" s="6" t="s">
        <v>32</v>
      </c>
      <c r="E31" s="15" t="s">
        <v>37</v>
      </c>
      <c r="G31" s="5" t="s">
        <v>22</v>
      </c>
      <c r="H31" s="4">
        <v>15.95</v>
      </c>
      <c r="I31" s="5">
        <v>3</v>
      </c>
      <c r="J31" s="5">
        <v>1</v>
      </c>
      <c r="K31" s="4">
        <f t="shared" si="0"/>
        <v>15.95</v>
      </c>
    </row>
    <row r="32" spans="1:13" hidden="1">
      <c r="B32" t="s">
        <v>306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0</v>
      </c>
      <c r="K32" s="4">
        <f t="shared" si="0"/>
        <v>0</v>
      </c>
    </row>
    <row r="33" spans="2:13" hidden="1">
      <c r="B33" t="s">
        <v>307</v>
      </c>
      <c r="C33" s="5" t="s">
        <v>220</v>
      </c>
      <c r="D33" s="6" t="s">
        <v>221</v>
      </c>
      <c r="E33" s="15">
        <v>32</v>
      </c>
      <c r="G33" s="5" t="s">
        <v>22</v>
      </c>
      <c r="H33" s="4">
        <v>29.95</v>
      </c>
      <c r="I33" s="5">
        <v>2</v>
      </c>
      <c r="J33" s="5">
        <v>0</v>
      </c>
      <c r="K33" s="4">
        <f t="shared" si="0"/>
        <v>0</v>
      </c>
    </row>
    <row r="34" spans="2:13" hidden="1">
      <c r="B34" t="s">
        <v>308</v>
      </c>
      <c r="C34" s="5" t="s">
        <v>224</v>
      </c>
      <c r="D34" s="6" t="s">
        <v>221</v>
      </c>
      <c r="E34" s="15">
        <v>24</v>
      </c>
      <c r="G34" s="5" t="s">
        <v>22</v>
      </c>
      <c r="H34" s="4">
        <v>22.95</v>
      </c>
      <c r="I34" s="5">
        <v>2</v>
      </c>
      <c r="J34" s="13">
        <v>0</v>
      </c>
      <c r="K34" s="4">
        <f t="shared" si="0"/>
        <v>0</v>
      </c>
    </row>
    <row r="35" spans="2:13" hidden="1">
      <c r="B35" t="s">
        <v>305</v>
      </c>
      <c r="C35" s="5" t="s">
        <v>226</v>
      </c>
      <c r="D35" s="6" t="s">
        <v>221</v>
      </c>
      <c r="E35" s="15">
        <v>16</v>
      </c>
      <c r="G35" s="5" t="s">
        <v>22</v>
      </c>
      <c r="H35" s="4">
        <v>16.95</v>
      </c>
      <c r="I35" s="5">
        <v>2</v>
      </c>
      <c r="J35" s="13">
        <v>0</v>
      </c>
      <c r="K35" s="4">
        <f t="shared" si="0"/>
        <v>0</v>
      </c>
    </row>
    <row r="36" spans="2:13">
      <c r="B36" t="s">
        <v>192</v>
      </c>
      <c r="C36" t="s">
        <v>146</v>
      </c>
      <c r="D36" s="3" t="s">
        <v>150</v>
      </c>
      <c r="E36" s="16"/>
      <c r="F36"/>
      <c r="G36" t="s">
        <v>22</v>
      </c>
      <c r="H36" s="1">
        <v>6.95</v>
      </c>
      <c r="I36">
        <v>2</v>
      </c>
      <c r="J36">
        <v>4</v>
      </c>
      <c r="K36" s="1">
        <f t="shared" si="0"/>
        <v>27.8</v>
      </c>
      <c r="L36" s="9"/>
      <c r="M36"/>
    </row>
    <row r="37" spans="2:13">
      <c r="B37" t="s">
        <v>304</v>
      </c>
      <c r="C37" s="5" t="s">
        <v>128</v>
      </c>
      <c r="D37" s="6" t="s">
        <v>129</v>
      </c>
      <c r="G37" s="5" t="s">
        <v>22</v>
      </c>
      <c r="H37" s="4">
        <v>3.95</v>
      </c>
      <c r="I37" s="5">
        <v>6</v>
      </c>
      <c r="J37" s="5">
        <v>2</v>
      </c>
      <c r="K37" s="4">
        <f t="shared" si="0"/>
        <v>7.9</v>
      </c>
    </row>
    <row r="38" spans="2:13">
      <c r="B38" t="s">
        <v>288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si="0"/>
        <v>27.95</v>
      </c>
    </row>
    <row r="39" spans="2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0"/>
        <v>0</v>
      </c>
    </row>
    <row r="40" spans="2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ref="K40:K61" si="1">H40*J40</f>
        <v>0</v>
      </c>
    </row>
    <row r="41" spans="2:13">
      <c r="B41" t="s">
        <v>289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1"/>
        <v>27.8</v>
      </c>
    </row>
    <row r="42" spans="2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1"/>
        <v>0</v>
      </c>
    </row>
    <row r="43" spans="2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1"/>
        <v>0</v>
      </c>
    </row>
    <row r="44" spans="2:13" ht="25.5">
      <c r="B44" s="5" t="s">
        <v>166</v>
      </c>
      <c r="C44" s="5" t="s">
        <v>93</v>
      </c>
      <c r="D44" s="6" t="s">
        <v>94</v>
      </c>
      <c r="G44" s="5" t="s">
        <v>22</v>
      </c>
      <c r="H44" s="4">
        <v>9.9499999999999993</v>
      </c>
      <c r="I44" s="5">
        <v>2</v>
      </c>
      <c r="J44" s="5">
        <v>1</v>
      </c>
      <c r="K44" s="4">
        <f t="shared" si="1"/>
        <v>9.9499999999999993</v>
      </c>
    </row>
    <row r="45" spans="2:13" ht="13.5" customHeight="1">
      <c r="B45" s="5" t="s">
        <v>154</v>
      </c>
      <c r="C45" s="5" t="s">
        <v>73</v>
      </c>
      <c r="G45" s="5" t="s">
        <v>22</v>
      </c>
      <c r="H45" s="4">
        <v>89.95</v>
      </c>
      <c r="I45" s="5">
        <v>1</v>
      </c>
      <c r="J45" s="5">
        <v>0</v>
      </c>
      <c r="K45" s="4">
        <f t="shared" si="1"/>
        <v>0</v>
      </c>
      <c r="M45" s="5" t="s">
        <v>207</v>
      </c>
    </row>
    <row r="46" spans="2:13" hidden="1">
      <c r="B46" s="5" t="s">
        <v>198</v>
      </c>
      <c r="C46" s="5" t="s">
        <v>197</v>
      </c>
      <c r="D46" s="6" t="s">
        <v>199</v>
      </c>
      <c r="E46" s="1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si="1"/>
        <v>0</v>
      </c>
    </row>
    <row r="47" spans="2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1"/>
        <v>0</v>
      </c>
      <c r="L47" s="5" t="s">
        <v>211</v>
      </c>
      <c r="M47" s="5" t="s">
        <v>210</v>
      </c>
    </row>
    <row r="48" spans="2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1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1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1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1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1"/>
        <v>0</v>
      </c>
    </row>
    <row r="53" spans="1:13" hidden="1">
      <c r="B53" t="s">
        <v>309</v>
      </c>
      <c r="D53" s="6" t="s">
        <v>61</v>
      </c>
      <c r="G53" s="5" t="s">
        <v>22</v>
      </c>
      <c r="H53" s="4">
        <v>1.95</v>
      </c>
      <c r="I53" s="5">
        <v>1</v>
      </c>
      <c r="J53" s="5">
        <v>0</v>
      </c>
      <c r="K53" s="4">
        <f t="shared" si="1"/>
        <v>0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1"/>
        <v>0</v>
      </c>
    </row>
    <row r="55" spans="1:13">
      <c r="B55" s="5" t="s">
        <v>155</v>
      </c>
      <c r="C55" s="5" t="s">
        <v>75</v>
      </c>
      <c r="G55" s="5" t="s">
        <v>22</v>
      </c>
      <c r="H55" s="4">
        <v>79.95</v>
      </c>
      <c r="I55" s="5">
        <v>1</v>
      </c>
      <c r="J55" s="5">
        <v>0</v>
      </c>
      <c r="K55" s="4">
        <f t="shared" si="1"/>
        <v>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1"/>
        <v>0</v>
      </c>
    </row>
    <row r="58" spans="1:13" ht="16.5" customHeight="1"/>
    <row r="59" spans="1:13" hidden="1"/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si="1"/>
        <v>0</v>
      </c>
    </row>
    <row r="62" spans="1:13">
      <c r="A62" s="5" t="s">
        <v>228</v>
      </c>
    </row>
    <row r="63" spans="1:13" ht="14.25" customHeight="1"/>
    <row r="64" spans="1:13">
      <c r="A64" s="5" t="s">
        <v>227</v>
      </c>
    </row>
    <row r="66" spans="1:3">
      <c r="A66" s="5" t="s">
        <v>229</v>
      </c>
    </row>
    <row r="68" spans="1:3">
      <c r="A68" s="5" t="s">
        <v>231</v>
      </c>
    </row>
    <row r="70" spans="1:3">
      <c r="A70" s="5" t="s">
        <v>233</v>
      </c>
    </row>
    <row r="72" spans="1:3">
      <c r="A72" s="5" t="s">
        <v>236</v>
      </c>
    </row>
    <row r="73" spans="1:3" ht="14.25" customHeight="1"/>
    <row r="74" spans="1:3" ht="17.25" customHeight="1">
      <c r="A74" t="s">
        <v>243</v>
      </c>
    </row>
    <row r="75" spans="1:3" ht="14.25" hidden="1" customHeight="1">
      <c r="C75" t="s">
        <v>246</v>
      </c>
    </row>
    <row r="76" spans="1:3" ht="16.5" customHeight="1"/>
    <row r="77" spans="1:3" ht="16.5" customHeight="1">
      <c r="A77" s="5" t="s">
        <v>240</v>
      </c>
    </row>
    <row r="78" spans="1:3" ht="16.5" customHeight="1"/>
    <row r="79" spans="1:3" ht="16.5" customHeight="1"/>
    <row r="80" spans="1:3" ht="16.5" customHeight="1"/>
    <row r="81" spans="1:13" ht="16.5" customHeight="1"/>
    <row r="82" spans="1:13" ht="16.5" customHeight="1">
      <c r="A82" s="5" t="s">
        <v>235</v>
      </c>
    </row>
    <row r="83" spans="1:13" ht="16.5" customHeight="1"/>
    <row r="84" spans="1:13" ht="14.25" customHeight="1">
      <c r="A84" s="5" t="s">
        <v>241</v>
      </c>
    </row>
    <row r="85" spans="1:13" ht="12.75" customHeight="1">
      <c r="B85" t="s">
        <v>290</v>
      </c>
      <c r="C85" s="5" t="s">
        <v>89</v>
      </c>
      <c r="D85" s="6" t="s">
        <v>90</v>
      </c>
      <c r="E85" s="15" t="s">
        <v>258</v>
      </c>
      <c r="G85" s="5" t="s">
        <v>22</v>
      </c>
      <c r="H85" s="4">
        <v>19.95</v>
      </c>
      <c r="I85" s="5">
        <v>1</v>
      </c>
      <c r="J85" s="13">
        <v>0</v>
      </c>
      <c r="K85" s="4">
        <f>H85*J85</f>
        <v>0</v>
      </c>
      <c r="M85" s="5" t="s">
        <v>209</v>
      </c>
    </row>
    <row r="86" spans="1:13" ht="16.5" customHeight="1">
      <c r="B86" s="5" t="s">
        <v>158</v>
      </c>
      <c r="C86" s="5" t="s">
        <v>81</v>
      </c>
      <c r="D86" s="3" t="s">
        <v>251</v>
      </c>
      <c r="E86" s="15" t="s">
        <v>252</v>
      </c>
      <c r="G86" s="5" t="s">
        <v>22</v>
      </c>
      <c r="H86" s="4">
        <v>29.95</v>
      </c>
      <c r="I86" s="5">
        <v>2</v>
      </c>
      <c r="J86" s="5">
        <v>0</v>
      </c>
      <c r="K86" s="4">
        <f>H86*J86</f>
        <v>0</v>
      </c>
    </row>
    <row r="87" spans="1:13" ht="27.75" customHeight="1">
      <c r="B87" t="s">
        <v>253</v>
      </c>
      <c r="D87" s="3" t="s">
        <v>251</v>
      </c>
      <c r="E87" s="16" t="s">
        <v>258</v>
      </c>
      <c r="G87" s="5" t="s">
        <v>22</v>
      </c>
      <c r="H87" s="4">
        <v>29.95</v>
      </c>
      <c r="I87" s="5">
        <v>2</v>
      </c>
      <c r="J87" s="13">
        <v>0</v>
      </c>
      <c r="K87" s="4">
        <f>H87*J87</f>
        <v>0</v>
      </c>
    </row>
    <row r="88" spans="1:13" ht="16.5" customHeight="1">
      <c r="C88" s="5" t="s">
        <v>74</v>
      </c>
      <c r="J88" s="5">
        <v>0</v>
      </c>
      <c r="K88" s="4">
        <f>H88*J88</f>
        <v>0</v>
      </c>
      <c r="M88" s="5" t="s">
        <v>208</v>
      </c>
    </row>
    <row r="89" spans="1:13" ht="16.5" customHeight="1">
      <c r="B89"/>
      <c r="G89"/>
      <c r="J89" s="11"/>
    </row>
    <row r="90" spans="1:13" ht="16.5" customHeight="1">
      <c r="A90" t="s">
        <v>312</v>
      </c>
      <c r="B90"/>
      <c r="G90"/>
      <c r="J90" s="11"/>
    </row>
    <row r="91" spans="1:13" ht="16.5" customHeight="1"/>
    <row r="92" spans="1:13">
      <c r="A92" t="s">
        <v>244</v>
      </c>
    </row>
    <row r="93" spans="1:13">
      <c r="A93" s="5" t="s">
        <v>232</v>
      </c>
      <c r="C93"/>
      <c r="D93" s="3"/>
    </row>
    <row r="94" spans="1:13">
      <c r="B94"/>
      <c r="D94" s="3"/>
      <c r="E94" s="16"/>
    </row>
    <row r="95" spans="1:13">
      <c r="A95" t="s">
        <v>263</v>
      </c>
      <c r="B95"/>
      <c r="D95" s="3"/>
      <c r="E95" s="16"/>
    </row>
    <row r="97" spans="1:12" hidden="1">
      <c r="B97" t="s">
        <v>292</v>
      </c>
      <c r="C97" t="s">
        <v>293</v>
      </c>
      <c r="D97" s="3" t="s">
        <v>294</v>
      </c>
      <c r="G97" s="5" t="s">
        <v>295</v>
      </c>
      <c r="H97" s="4">
        <v>17.91</v>
      </c>
      <c r="I97" s="5">
        <v>1</v>
      </c>
      <c r="J97" s="5">
        <v>0</v>
      </c>
      <c r="K97" s="4">
        <f>H97*J97</f>
        <v>0</v>
      </c>
    </row>
    <row r="98" spans="1:12">
      <c r="A98" t="s">
        <v>274</v>
      </c>
    </row>
    <row r="99" spans="1:12">
      <c r="B99"/>
      <c r="C99"/>
      <c r="D99" s="3"/>
      <c r="E99" s="16"/>
    </row>
    <row r="100" spans="1:12" hidden="1">
      <c r="B100" s="5" t="s">
        <v>15</v>
      </c>
      <c r="D100" s="6" t="s">
        <v>16</v>
      </c>
      <c r="E100" s="15" t="s">
        <v>17</v>
      </c>
      <c r="G100" s="5" t="s">
        <v>18</v>
      </c>
      <c r="H100" s="4">
        <v>9.9499999999999993</v>
      </c>
      <c r="I100" s="5">
        <v>100</v>
      </c>
      <c r="J100" s="5">
        <v>0</v>
      </c>
      <c r="K100" s="4">
        <f t="shared" ref="K100:K106" si="2">H100*J100</f>
        <v>0</v>
      </c>
    </row>
    <row r="101" spans="1:12" hidden="1">
      <c r="B101" s="5" t="s">
        <v>19</v>
      </c>
      <c r="D101" s="6" t="s">
        <v>20</v>
      </c>
      <c r="E101" s="15" t="s">
        <v>21</v>
      </c>
      <c r="G101" s="5" t="s">
        <v>22</v>
      </c>
      <c r="H101" s="4">
        <v>9.9499999999999993</v>
      </c>
      <c r="I101" s="5">
        <v>100</v>
      </c>
      <c r="J101" s="5">
        <v>0</v>
      </c>
      <c r="K101" s="4">
        <f t="shared" si="2"/>
        <v>0</v>
      </c>
    </row>
    <row r="102" spans="1:12" hidden="1">
      <c r="B102" s="5" t="s">
        <v>25</v>
      </c>
      <c r="D102" s="6" t="s">
        <v>26</v>
      </c>
      <c r="E102" s="15" t="s">
        <v>27</v>
      </c>
      <c r="G102" s="5" t="s">
        <v>22</v>
      </c>
      <c r="H102" s="4">
        <v>8.9499999999999993</v>
      </c>
      <c r="I102" s="5">
        <v>50</v>
      </c>
      <c r="J102" s="5">
        <v>0</v>
      </c>
      <c r="K102" s="4">
        <f t="shared" si="2"/>
        <v>0</v>
      </c>
    </row>
    <row r="103" spans="1:12" hidden="1">
      <c r="B103" s="5" t="s">
        <v>23</v>
      </c>
      <c r="C103" s="5" t="s">
        <v>130</v>
      </c>
      <c r="D103" s="6" t="s">
        <v>131</v>
      </c>
      <c r="G103" s="5" t="s">
        <v>22</v>
      </c>
      <c r="H103" s="4">
        <v>2.95</v>
      </c>
      <c r="I103" s="5">
        <v>100</v>
      </c>
      <c r="J103" s="5">
        <v>0</v>
      </c>
      <c r="K103" s="4">
        <f t="shared" si="2"/>
        <v>0</v>
      </c>
    </row>
    <row r="104" spans="1:12" ht="25.5" hidden="1">
      <c r="B104" s="5" t="s">
        <v>185</v>
      </c>
      <c r="C104" s="5" t="s">
        <v>132</v>
      </c>
      <c r="D104" s="6" t="s">
        <v>133</v>
      </c>
      <c r="G104" s="5" t="s">
        <v>22</v>
      </c>
      <c r="H104" s="4">
        <v>9.9499999999999993</v>
      </c>
      <c r="I104" s="5">
        <v>100</v>
      </c>
      <c r="J104" s="5">
        <v>0</v>
      </c>
      <c r="K104" s="4">
        <f t="shared" si="2"/>
        <v>0</v>
      </c>
    </row>
    <row r="105" spans="1:12" ht="17.25" hidden="1" customHeight="1">
      <c r="B105" s="5" t="s">
        <v>184</v>
      </c>
      <c r="C105" s="5" t="s">
        <v>134</v>
      </c>
      <c r="D105" s="6" t="s">
        <v>135</v>
      </c>
      <c r="G105" s="5" t="s">
        <v>22</v>
      </c>
      <c r="H105" s="4">
        <v>9.9499999999999993</v>
      </c>
      <c r="I105" s="5">
        <v>100</v>
      </c>
      <c r="J105" s="5">
        <v>0</v>
      </c>
      <c r="K105" s="4">
        <f t="shared" si="2"/>
        <v>0</v>
      </c>
    </row>
    <row r="106" spans="1:12" hidden="1">
      <c r="B106" s="5" t="s">
        <v>190</v>
      </c>
      <c r="C106" s="5" t="s">
        <v>144</v>
      </c>
      <c r="D106" s="6" t="s">
        <v>148</v>
      </c>
      <c r="G106" s="5" t="s">
        <v>22</v>
      </c>
      <c r="H106" s="4">
        <v>8.9499999999999993</v>
      </c>
      <c r="I106" s="5">
        <v>50</v>
      </c>
      <c r="J106" s="5">
        <v>0</v>
      </c>
      <c r="K106" s="4">
        <f t="shared" si="2"/>
        <v>0</v>
      </c>
    </row>
    <row r="107" spans="1:12">
      <c r="A107" t="s">
        <v>291</v>
      </c>
      <c r="B107"/>
      <c r="C107"/>
      <c r="D107" s="3"/>
      <c r="E107" s="16"/>
    </row>
    <row r="109" spans="1:12">
      <c r="A109" s="5" t="s">
        <v>234</v>
      </c>
    </row>
    <row r="110" spans="1:12" hidden="1">
      <c r="B110" s="5" t="s">
        <v>44</v>
      </c>
      <c r="C110" s="5" t="s">
        <v>91</v>
      </c>
      <c r="D110" s="6" t="s">
        <v>92</v>
      </c>
      <c r="E110" s="15" t="s">
        <v>242</v>
      </c>
      <c r="G110" s="5" t="s">
        <v>22</v>
      </c>
      <c r="H110" s="4">
        <v>49.95</v>
      </c>
      <c r="I110" s="5">
        <v>1</v>
      </c>
      <c r="J110" s="5">
        <v>0</v>
      </c>
      <c r="K110" s="4">
        <f>H110*J110</f>
        <v>0</v>
      </c>
    </row>
    <row r="111" spans="1:12" hidden="1">
      <c r="B111" s="5" t="s">
        <v>159</v>
      </c>
      <c r="C111" s="5" t="s">
        <v>85</v>
      </c>
      <c r="D111" s="6" t="s">
        <v>86</v>
      </c>
      <c r="G111" s="5" t="s">
        <v>22</v>
      </c>
      <c r="H111" s="4">
        <v>5.95</v>
      </c>
      <c r="I111" s="5">
        <v>1</v>
      </c>
      <c r="J111" s="5">
        <v>0</v>
      </c>
      <c r="K111" s="4">
        <f>H111*J111</f>
        <v>0</v>
      </c>
      <c r="L111" s="11"/>
    </row>
    <row r="112" spans="1:12" hidden="1">
      <c r="B112" s="5" t="s">
        <v>163</v>
      </c>
      <c r="C112" s="5" t="s">
        <v>161</v>
      </c>
      <c r="D112" s="6" t="s">
        <v>162</v>
      </c>
      <c r="G112" s="5" t="s">
        <v>22</v>
      </c>
      <c r="H112" s="4">
        <v>24.95</v>
      </c>
      <c r="I112" s="5">
        <v>1</v>
      </c>
      <c r="J112" s="5">
        <v>0</v>
      </c>
      <c r="K112" s="4">
        <f>H112*J112</f>
        <v>0</v>
      </c>
    </row>
    <row r="115" spans="1:11" hidden="1">
      <c r="B115" s="5" t="s">
        <v>51</v>
      </c>
      <c r="D115" s="6" t="s">
        <v>52</v>
      </c>
      <c r="G115" s="5" t="s">
        <v>22</v>
      </c>
      <c r="H115" s="4">
        <v>16.95</v>
      </c>
      <c r="J115" s="13">
        <v>0</v>
      </c>
      <c r="K115" s="4">
        <f>H115*J115</f>
        <v>0</v>
      </c>
    </row>
    <row r="116" spans="1:11">
      <c r="A116" s="5" t="s">
        <v>237</v>
      </c>
    </row>
    <row r="118" spans="1:11">
      <c r="A118" s="5" t="s">
        <v>238</v>
      </c>
    </row>
    <row r="119" spans="1:11" hidden="1">
      <c r="B119" s="5" t="s">
        <v>62</v>
      </c>
      <c r="D119" s="6" t="s">
        <v>63</v>
      </c>
      <c r="E119" s="15">
        <v>346</v>
      </c>
      <c r="G119" s="5" t="s">
        <v>64</v>
      </c>
      <c r="H119" s="4">
        <v>27.17</v>
      </c>
      <c r="I119" s="5" t="s">
        <v>65</v>
      </c>
      <c r="J119" s="5">
        <v>0</v>
      </c>
      <c r="K119" s="4">
        <f>H119*J119</f>
        <v>0</v>
      </c>
    </row>
    <row r="120" spans="1:11" hidden="1">
      <c r="B120" s="5" t="s">
        <v>66</v>
      </c>
      <c r="D120" s="6" t="s">
        <v>67</v>
      </c>
      <c r="E120" s="15">
        <v>693</v>
      </c>
      <c r="G120" s="5" t="s">
        <v>64</v>
      </c>
      <c r="H120" s="4">
        <v>12.77</v>
      </c>
      <c r="I120" s="5" t="s">
        <v>68</v>
      </c>
      <c r="J120" s="5">
        <v>0</v>
      </c>
      <c r="K120" s="4">
        <f>H120*J120</f>
        <v>0</v>
      </c>
    </row>
    <row r="121" spans="1:11" hidden="1">
      <c r="B121" s="5" t="s">
        <v>69</v>
      </c>
      <c r="D121" s="3" t="s">
        <v>247</v>
      </c>
      <c r="E121" s="15" t="s">
        <v>71</v>
      </c>
      <c r="G121" s="5" t="s">
        <v>72</v>
      </c>
      <c r="H121" s="4">
        <v>1.52</v>
      </c>
      <c r="I121" s="5">
        <v>1</v>
      </c>
      <c r="J121" s="5">
        <v>0</v>
      </c>
      <c r="K121" s="4">
        <f>H121*J121</f>
        <v>0</v>
      </c>
    </row>
    <row r="122" spans="1:11">
      <c r="B122" s="5" t="s">
        <v>254</v>
      </c>
      <c r="D122" s="3" t="s">
        <v>48</v>
      </c>
      <c r="E122" s="16" t="s">
        <v>255</v>
      </c>
      <c r="G122" s="5" t="s">
        <v>22</v>
      </c>
      <c r="H122" s="4">
        <v>0.95</v>
      </c>
      <c r="I122" t="s">
        <v>50</v>
      </c>
      <c r="J122" s="5">
        <v>2</v>
      </c>
      <c r="K122" s="4">
        <f>H122*J122</f>
        <v>1.9</v>
      </c>
    </row>
    <row r="123" spans="1:11">
      <c r="D123" s="3"/>
      <c r="E123" s="16"/>
      <c r="I123"/>
    </row>
    <row r="124" spans="1:11">
      <c r="A124" s="5" t="s">
        <v>239</v>
      </c>
    </row>
    <row r="125" spans="1:11" hidden="1">
      <c r="B125" s="5" t="s">
        <v>182</v>
      </c>
      <c r="C125" s="5" t="s">
        <v>126</v>
      </c>
      <c r="D125" s="6" t="s">
        <v>127</v>
      </c>
      <c r="G125" s="5" t="s">
        <v>22</v>
      </c>
      <c r="H125" s="4">
        <v>13.95</v>
      </c>
      <c r="I125" s="5">
        <v>12</v>
      </c>
      <c r="J125" s="5">
        <v>0</v>
      </c>
      <c r="K125" s="4">
        <f>H125*J125</f>
        <v>0</v>
      </c>
    </row>
    <row r="126" spans="1:11" hidden="1">
      <c r="B126" s="5" t="s">
        <v>191</v>
      </c>
      <c r="C126" s="5" t="s">
        <v>145</v>
      </c>
      <c r="D126" s="6" t="s">
        <v>149</v>
      </c>
      <c r="G126" s="5" t="s">
        <v>22</v>
      </c>
      <c r="H126" s="4">
        <v>12</v>
      </c>
      <c r="I126" s="5">
        <v>12</v>
      </c>
      <c r="J126" s="5">
        <v>0</v>
      </c>
      <c r="K126" s="4">
        <f>H126*J126</f>
        <v>0</v>
      </c>
    </row>
    <row r="127" spans="1:11">
      <c r="B127" s="5" t="s">
        <v>188</v>
      </c>
      <c r="C127" s="7" t="s">
        <v>140</v>
      </c>
      <c r="D127" s="6" t="s">
        <v>141</v>
      </c>
      <c r="G127" s="5" t="s">
        <v>22</v>
      </c>
      <c r="H127" s="4">
        <v>3.95</v>
      </c>
      <c r="I127" s="5">
        <v>12</v>
      </c>
      <c r="J127" s="5">
        <v>1</v>
      </c>
      <c r="K127" s="4">
        <f>H127*J127</f>
        <v>3.95</v>
      </c>
    </row>
    <row r="128" spans="1:11">
      <c r="B128" s="5" t="s">
        <v>28</v>
      </c>
      <c r="D128" s="6" t="s">
        <v>29</v>
      </c>
      <c r="G128" s="5" t="s">
        <v>22</v>
      </c>
      <c r="H128" s="4">
        <v>24.95</v>
      </c>
      <c r="I128" s="5">
        <v>1</v>
      </c>
      <c r="J128" s="5">
        <v>0</v>
      </c>
      <c r="K128" s="4">
        <f>H128*J128</f>
        <v>0</v>
      </c>
    </row>
    <row r="129" spans="2:11">
      <c r="B129" s="5" t="s">
        <v>189</v>
      </c>
      <c r="C129" s="5" t="s">
        <v>142</v>
      </c>
      <c r="D129" s="6" t="s">
        <v>143</v>
      </c>
      <c r="G129" s="5" t="s">
        <v>22</v>
      </c>
      <c r="H129" s="4">
        <v>4.95</v>
      </c>
      <c r="I129" s="5">
        <v>12</v>
      </c>
      <c r="J129" s="5">
        <v>1</v>
      </c>
      <c r="K129" s="4">
        <f>H129*J129</f>
        <v>4.95</v>
      </c>
    </row>
    <row r="132" spans="2:11">
      <c r="C132" s="14" t="s">
        <v>261</v>
      </c>
    </row>
    <row r="133" spans="2:11">
      <c r="C133" t="s">
        <v>259</v>
      </c>
    </row>
    <row r="134" spans="2:11">
      <c r="C134" s="14" t="s">
        <v>273</v>
      </c>
    </row>
    <row r="135" spans="2:11">
      <c r="C135" s="14" t="s">
        <v>260</v>
      </c>
    </row>
    <row r="136" spans="2:11">
      <c r="C136" t="s">
        <v>259</v>
      </c>
      <c r="D136" s="3" t="s">
        <v>262</v>
      </c>
    </row>
    <row r="137" spans="2:11">
      <c r="C137" s="12" t="s">
        <v>291</v>
      </c>
    </row>
  </sheetData>
  <sortState ref="A2:M60">
    <sortCondition ref="G2:G60"/>
  </sortState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8"/>
  <sheetViews>
    <sheetView topLeftCell="C1" zoomScale="115" zoomScaleNormal="115" workbookViewId="0">
      <pane ySplit="795" activePane="bottomLeft"/>
      <selection activeCell="C1" sqref="C1:K10"/>
      <selection pane="bottomLeft" activeCell="C1" sqref="C1:K3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7.28515625" style="6" customWidth="1"/>
    <col min="5" max="5" width="14.5703125" style="5" customWidth="1"/>
    <col min="6" max="6" width="6" style="5" customWidth="1"/>
    <col min="7" max="7" width="16.140625" style="5" customWidth="1"/>
    <col min="8" max="8" width="11" style="4" customWidth="1"/>
    <col min="9" max="9" width="14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2</v>
      </c>
      <c r="K3" s="4">
        <f>H3*J3</f>
        <v>35.9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1</v>
      </c>
      <c r="K4" s="4">
        <f>H4*J4</f>
        <v>27.95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1</v>
      </c>
      <c r="K5" s="4">
        <f>H5*J5</f>
        <v>16.95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3</v>
      </c>
      <c r="K6" s="4">
        <f>H6*J6</f>
        <v>35.849999999999994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3</v>
      </c>
      <c r="K12" s="4">
        <f>H12*J12</f>
        <v>14.850000000000001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4</v>
      </c>
      <c r="K13" s="4">
        <f t="shared" ref="K13" si="0">H13*J13</f>
        <v>19.8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2</v>
      </c>
      <c r="K16" s="4">
        <f>H16*J16</f>
        <v>27.9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2</v>
      </c>
      <c r="K17" s="4">
        <f>H17*J17</f>
        <v>21.9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1</v>
      </c>
      <c r="K20" s="4">
        <f>H20*J20</f>
        <v>12.95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 hidden="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4</v>
      </c>
      <c r="K26" s="1">
        <f t="shared" ref="K26" si="1">H26*J26</f>
        <v>27.8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1</v>
      </c>
      <c r="K33" s="4">
        <f t="shared" ref="K33:K35" si="2">H33*J33</f>
        <v>29.95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3"/>
        <v>0</v>
      </c>
    </row>
    <row r="43" spans="1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3"/>
        <v>0</v>
      </c>
    </row>
    <row r="45" spans="1:13">
      <c r="A45" s="5" t="s">
        <v>240</v>
      </c>
    </row>
    <row r="46" spans="1:13" hidden="1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4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2</v>
      </c>
      <c r="K53" s="4">
        <f t="shared" si="4"/>
        <v>3.9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4</v>
      </c>
      <c r="K55" s="4">
        <f t="shared" si="4"/>
        <v>20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 hidden="1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 hidden="1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 hidden="1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7.25" customHeight="1">
      <c r="A68" t="s">
        <v>244</v>
      </c>
    </row>
    <row r="69" spans="1:13" ht="14.25" hidden="1" customHeight="1">
      <c r="C69" t="s">
        <v>246</v>
      </c>
    </row>
    <row r="70" spans="1:13" ht="16.5" customHeight="1">
      <c r="B70" t="s">
        <v>256</v>
      </c>
      <c r="C70" t="s">
        <v>249</v>
      </c>
      <c r="D70" s="3" t="s">
        <v>250</v>
      </c>
      <c r="E70" t="s">
        <v>257</v>
      </c>
      <c r="G70" s="5" t="s">
        <v>248</v>
      </c>
      <c r="H70" s="4">
        <v>25.52</v>
      </c>
      <c r="I70" s="5">
        <v>1</v>
      </c>
      <c r="J70" s="5">
        <v>1</v>
      </c>
      <c r="K70" s="4">
        <f>H70*J70</f>
        <v>25.52</v>
      </c>
    </row>
    <row r="71" spans="1:13" ht="16.5" customHeight="1">
      <c r="C71"/>
      <c r="D71" s="3"/>
    </row>
    <row r="72" spans="1:13" ht="14.25" customHeight="1">
      <c r="A72" s="5" t="s">
        <v>232</v>
      </c>
      <c r="C72"/>
      <c r="D72" s="3"/>
    </row>
    <row r="73" spans="1:13" ht="12.75" customHeight="1">
      <c r="B73" s="5" t="s">
        <v>55</v>
      </c>
      <c r="C73" s="5" t="s">
        <v>89</v>
      </c>
      <c r="D73" s="6" t="s">
        <v>90</v>
      </c>
      <c r="E73" s="5" t="s">
        <v>258</v>
      </c>
      <c r="G73" s="5" t="s">
        <v>22</v>
      </c>
      <c r="H73" s="4">
        <v>19.95</v>
      </c>
      <c r="I73" s="5">
        <v>1</v>
      </c>
      <c r="J73" s="5">
        <v>2</v>
      </c>
      <c r="K73" s="4">
        <f>H73*J73</f>
        <v>39.9</v>
      </c>
      <c r="M73" s="5" t="s">
        <v>209</v>
      </c>
    </row>
    <row r="74" spans="1:13" ht="16.5" hidden="1" customHeight="1">
      <c r="B74" s="5" t="s">
        <v>158</v>
      </c>
      <c r="C74" s="5" t="s">
        <v>81</v>
      </c>
      <c r="D74" s="3" t="s">
        <v>251</v>
      </c>
      <c r="E74" s="5" t="s">
        <v>252</v>
      </c>
      <c r="G74" s="5" t="s">
        <v>22</v>
      </c>
      <c r="H74" s="4">
        <v>29.95</v>
      </c>
      <c r="I74" s="5">
        <v>2</v>
      </c>
      <c r="J74" s="5">
        <v>0</v>
      </c>
      <c r="K74" s="4">
        <f>H74*J74</f>
        <v>0</v>
      </c>
    </row>
    <row r="75" spans="1:13" ht="16.5" customHeight="1">
      <c r="B75" t="s">
        <v>253</v>
      </c>
      <c r="D75" s="3" t="s">
        <v>251</v>
      </c>
      <c r="E75" t="s">
        <v>258</v>
      </c>
      <c r="G75" s="5" t="s">
        <v>22</v>
      </c>
      <c r="H75" s="4">
        <v>29.95</v>
      </c>
      <c r="I75" s="5">
        <v>2</v>
      </c>
      <c r="J75" s="5">
        <v>1</v>
      </c>
      <c r="K75" s="4">
        <v>29.95</v>
      </c>
    </row>
    <row r="77" spans="1:13">
      <c r="A77" s="5" t="s">
        <v>234</v>
      </c>
    </row>
    <row r="78" spans="1:13" hidden="1">
      <c r="B78" s="5" t="s">
        <v>15</v>
      </c>
      <c r="D78" s="6" t="s">
        <v>16</v>
      </c>
      <c r="E78" s="5" t="s">
        <v>17</v>
      </c>
      <c r="G78" s="5" t="s">
        <v>18</v>
      </c>
      <c r="H78" s="4">
        <v>9.9499999999999993</v>
      </c>
      <c r="I78" s="5">
        <v>100</v>
      </c>
      <c r="J78" s="5">
        <v>0</v>
      </c>
      <c r="K78" s="4">
        <f t="shared" ref="K78:K94" si="6">H78*J78</f>
        <v>0</v>
      </c>
    </row>
    <row r="79" spans="1:13" hidden="1">
      <c r="B79" s="5" t="s">
        <v>19</v>
      </c>
      <c r="D79" s="6" t="s">
        <v>20</v>
      </c>
      <c r="E79" s="5" t="s">
        <v>21</v>
      </c>
      <c r="G79" s="5" t="s">
        <v>22</v>
      </c>
      <c r="H79" s="4">
        <v>9.9499999999999993</v>
      </c>
      <c r="I79" s="5">
        <v>100</v>
      </c>
      <c r="J79" s="5">
        <v>0</v>
      </c>
      <c r="K79" s="4">
        <f t="shared" si="6"/>
        <v>0</v>
      </c>
    </row>
    <row r="80" spans="1:13" hidden="1">
      <c r="B80" s="5" t="s">
        <v>25</v>
      </c>
      <c r="D80" s="6" t="s">
        <v>26</v>
      </c>
      <c r="E80" s="5" t="s">
        <v>27</v>
      </c>
      <c r="G80" s="5" t="s">
        <v>22</v>
      </c>
      <c r="H80" s="4">
        <v>8.9499999999999993</v>
      </c>
      <c r="I80" s="5">
        <v>50</v>
      </c>
      <c r="J80" s="5">
        <v>0</v>
      </c>
      <c r="K80" s="4">
        <f t="shared" si="6"/>
        <v>0</v>
      </c>
    </row>
    <row r="81" spans="1:12" hidden="1">
      <c r="B81" s="5" t="s">
        <v>23</v>
      </c>
      <c r="C81" s="5" t="s">
        <v>130</v>
      </c>
      <c r="D81" s="6" t="s">
        <v>131</v>
      </c>
      <c r="G81" s="5" t="s">
        <v>22</v>
      </c>
      <c r="H81" s="4">
        <v>2.95</v>
      </c>
      <c r="I81" s="5">
        <v>100</v>
      </c>
      <c r="J81" s="5">
        <v>0</v>
      </c>
      <c r="K81" s="4">
        <f>H81*J81</f>
        <v>0</v>
      </c>
    </row>
    <row r="82" spans="1:12" hidden="1">
      <c r="B82" s="5" t="s">
        <v>185</v>
      </c>
      <c r="C82" s="5" t="s">
        <v>132</v>
      </c>
      <c r="D82" s="6" t="s">
        <v>133</v>
      </c>
      <c r="G82" s="5" t="s">
        <v>22</v>
      </c>
      <c r="H82" s="4">
        <v>9.9499999999999993</v>
      </c>
      <c r="I82" s="5">
        <v>100</v>
      </c>
      <c r="J82" s="5">
        <v>0</v>
      </c>
      <c r="K82" s="4">
        <f>H82*J82</f>
        <v>0</v>
      </c>
    </row>
    <row r="83" spans="1:12" ht="17.25" hidden="1" customHeight="1">
      <c r="B83" s="5" t="s">
        <v>184</v>
      </c>
      <c r="C83" s="5" t="s">
        <v>134</v>
      </c>
      <c r="D83" s="6" t="s">
        <v>135</v>
      </c>
      <c r="G83" s="5" t="s">
        <v>22</v>
      </c>
      <c r="H83" s="4">
        <v>9.9499999999999993</v>
      </c>
      <c r="I83" s="5">
        <v>100</v>
      </c>
      <c r="J83" s="5">
        <v>0</v>
      </c>
      <c r="K83" s="4">
        <f>H83*J83</f>
        <v>0</v>
      </c>
    </row>
    <row r="84" spans="1:12" hidden="1">
      <c r="B84" s="5" t="s">
        <v>190</v>
      </c>
      <c r="C84" s="5" t="s">
        <v>144</v>
      </c>
      <c r="D84" s="6" t="s">
        <v>148</v>
      </c>
      <c r="G84" s="5" t="s">
        <v>22</v>
      </c>
      <c r="H84" s="4">
        <v>8.9499999999999993</v>
      </c>
      <c r="I84" s="5">
        <v>50</v>
      </c>
      <c r="J84" s="5">
        <v>0</v>
      </c>
      <c r="K84" s="4">
        <f>H84*J84</f>
        <v>0</v>
      </c>
    </row>
    <row r="87" spans="1:12">
      <c r="A87" s="5" t="s">
        <v>237</v>
      </c>
    </row>
    <row r="88" spans="1:12" hidden="1">
      <c r="B88" s="5" t="s">
        <v>44</v>
      </c>
      <c r="C88" s="5" t="s">
        <v>91</v>
      </c>
      <c r="D88" s="6" t="s">
        <v>92</v>
      </c>
      <c r="E88" s="5" t="s">
        <v>242</v>
      </c>
      <c r="G88" s="5" t="s">
        <v>22</v>
      </c>
      <c r="H88" s="4">
        <v>49.95</v>
      </c>
      <c r="I88" s="5">
        <v>1</v>
      </c>
      <c r="J88" s="5">
        <v>0</v>
      </c>
      <c r="K88" s="4">
        <f>H88*J88</f>
        <v>0</v>
      </c>
    </row>
    <row r="89" spans="1:12" hidden="1">
      <c r="B89" s="5" t="s">
        <v>159</v>
      </c>
      <c r="C89" s="5" t="s">
        <v>85</v>
      </c>
      <c r="D89" s="6" t="s">
        <v>86</v>
      </c>
      <c r="G89" s="5" t="s">
        <v>22</v>
      </c>
      <c r="H89" s="4">
        <v>5.95</v>
      </c>
      <c r="I89" s="5">
        <v>1</v>
      </c>
      <c r="J89" s="5">
        <v>0</v>
      </c>
      <c r="K89" s="4">
        <f>H89*J89</f>
        <v>0</v>
      </c>
      <c r="L89" s="11"/>
    </row>
    <row r="90" spans="1:12" hidden="1">
      <c r="B90" s="5" t="s">
        <v>163</v>
      </c>
      <c r="C90" s="5" t="s">
        <v>161</v>
      </c>
      <c r="D90" s="6" t="s">
        <v>162</v>
      </c>
      <c r="G90" s="5" t="s">
        <v>22</v>
      </c>
      <c r="H90" s="4">
        <v>24.95</v>
      </c>
      <c r="I90" s="5">
        <v>1</v>
      </c>
      <c r="J90" s="5">
        <v>0</v>
      </c>
      <c r="K90" s="4">
        <f>H90*J90</f>
        <v>0</v>
      </c>
    </row>
    <row r="92" spans="1:12">
      <c r="A92" s="5" t="s">
        <v>238</v>
      </c>
    </row>
    <row r="93" spans="1:12">
      <c r="B93" s="5" t="s">
        <v>51</v>
      </c>
      <c r="D93" s="6" t="s">
        <v>52</v>
      </c>
      <c r="G93" s="5" t="s">
        <v>22</v>
      </c>
      <c r="H93" s="4">
        <v>16.95</v>
      </c>
      <c r="J93" s="5">
        <v>1</v>
      </c>
      <c r="K93" s="4">
        <f t="shared" si="6"/>
        <v>16.95</v>
      </c>
    </row>
    <row r="94" spans="1:12">
      <c r="B94" s="5" t="s">
        <v>254</v>
      </c>
      <c r="D94" s="3" t="s">
        <v>48</v>
      </c>
      <c r="E94" t="s">
        <v>255</v>
      </c>
      <c r="G94" s="5" t="s">
        <v>22</v>
      </c>
      <c r="H94" s="4">
        <v>0.95</v>
      </c>
      <c r="I94" t="s">
        <v>50</v>
      </c>
      <c r="J94" s="5">
        <v>2</v>
      </c>
      <c r="K94" s="4">
        <f t="shared" si="6"/>
        <v>1.9</v>
      </c>
    </row>
    <row r="96" spans="1:12">
      <c r="A96" s="5" t="s">
        <v>239</v>
      </c>
    </row>
    <row r="97" spans="2:11" hidden="1">
      <c r="B97" s="5" t="s">
        <v>62</v>
      </c>
      <c r="D97" s="6" t="s">
        <v>63</v>
      </c>
      <c r="E97" s="5">
        <v>346</v>
      </c>
      <c r="G97" s="5" t="s">
        <v>64</v>
      </c>
      <c r="H97" s="4">
        <v>27.17</v>
      </c>
      <c r="I97" s="5" t="s">
        <v>65</v>
      </c>
      <c r="J97" s="5">
        <v>0</v>
      </c>
      <c r="K97" s="4">
        <f>H97*J97</f>
        <v>0</v>
      </c>
    </row>
    <row r="98" spans="2:11" hidden="1">
      <c r="B98" s="5" t="s">
        <v>66</v>
      </c>
      <c r="D98" s="6" t="s">
        <v>67</v>
      </c>
      <c r="E98" s="5">
        <v>693</v>
      </c>
      <c r="G98" s="5" t="s">
        <v>64</v>
      </c>
      <c r="H98" s="4">
        <v>12.77</v>
      </c>
      <c r="I98" s="5" t="s">
        <v>68</v>
      </c>
      <c r="J98" s="5">
        <v>0</v>
      </c>
      <c r="K98" s="4">
        <f>H98*J98</f>
        <v>0</v>
      </c>
    </row>
    <row r="99" spans="2:11" hidden="1">
      <c r="B99" s="5" t="s">
        <v>69</v>
      </c>
      <c r="D99" s="3" t="s">
        <v>247</v>
      </c>
      <c r="E99" s="5" t="s">
        <v>71</v>
      </c>
      <c r="G99" s="5" t="s">
        <v>72</v>
      </c>
      <c r="H99" s="4">
        <v>1.52</v>
      </c>
      <c r="I99" s="5">
        <v>1</v>
      </c>
      <c r="J99" s="5">
        <v>0</v>
      </c>
      <c r="K99" s="4">
        <f>H99*J99</f>
        <v>0</v>
      </c>
    </row>
    <row r="102" spans="2:11">
      <c r="B102" s="5" t="s">
        <v>188</v>
      </c>
      <c r="C102" s="7" t="s">
        <v>140</v>
      </c>
      <c r="D102" s="6" t="s">
        <v>141</v>
      </c>
      <c r="G102" s="5" t="s">
        <v>22</v>
      </c>
      <c r="H102" s="4">
        <v>3.95</v>
      </c>
      <c r="I102" s="5">
        <v>12</v>
      </c>
      <c r="J102" s="5">
        <v>1</v>
      </c>
      <c r="K102" s="4">
        <f>H102*J102</f>
        <v>3.95</v>
      </c>
    </row>
    <row r="103" spans="2:11">
      <c r="B103" s="5" t="s">
        <v>189</v>
      </c>
      <c r="C103" s="5" t="s">
        <v>142</v>
      </c>
      <c r="D103" s="6" t="s">
        <v>143</v>
      </c>
      <c r="G103" s="5" t="s">
        <v>22</v>
      </c>
      <c r="H103" s="4">
        <v>4.95</v>
      </c>
      <c r="I103" s="5">
        <v>12</v>
      </c>
      <c r="J103" s="5">
        <v>1</v>
      </c>
      <c r="K103" s="4">
        <f>H103*J103</f>
        <v>4.95</v>
      </c>
    </row>
    <row r="104" spans="2:11" hidden="1">
      <c r="B104" s="5" t="s">
        <v>182</v>
      </c>
      <c r="C104" s="5" t="s">
        <v>126</v>
      </c>
      <c r="D104" s="6" t="s">
        <v>127</v>
      </c>
      <c r="G104" s="5" t="s">
        <v>22</v>
      </c>
      <c r="H104" s="4">
        <v>13.95</v>
      </c>
      <c r="I104" s="5">
        <v>12</v>
      </c>
      <c r="J104" s="5">
        <v>0</v>
      </c>
      <c r="K104" s="4">
        <f>H104*J104</f>
        <v>0</v>
      </c>
    </row>
    <row r="105" spans="2:11" hidden="1">
      <c r="B105" s="5" t="s">
        <v>191</v>
      </c>
      <c r="C105" s="5" t="s">
        <v>145</v>
      </c>
      <c r="D105" s="6" t="s">
        <v>149</v>
      </c>
      <c r="G105" s="5" t="s">
        <v>22</v>
      </c>
      <c r="H105" s="4">
        <v>12</v>
      </c>
      <c r="I105" s="5">
        <v>12</v>
      </c>
      <c r="J105" s="5">
        <v>0</v>
      </c>
      <c r="K105" s="4">
        <f>H105*J105</f>
        <v>0</v>
      </c>
    </row>
    <row r="108" spans="2:11">
      <c r="K108" s="4">
        <f>SUM(K2:K107)</f>
        <v>661.77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06"/>
  <sheetViews>
    <sheetView topLeftCell="A13" zoomScaleNormal="100" workbookViewId="0">
      <pane ySplit="660" topLeftCell="A23" activePane="bottomLeft"/>
      <selection activeCell="B1" sqref="B1"/>
      <selection pane="bottomLeft" activeCell="C70" sqref="C70"/>
    </sheetView>
  </sheetViews>
  <sheetFormatPr defaultRowHeight="12.75"/>
  <cols>
    <col min="1" max="1" width="9.140625" style="5"/>
    <col min="2" max="2" width="16" style="5" customWidth="1"/>
    <col min="3" max="3" width="28.28515625" style="5" customWidth="1"/>
    <col min="4" max="4" width="26.28515625" style="6" customWidth="1"/>
    <col min="5" max="5" width="11.7109375" style="5" customWidth="1"/>
    <col min="6" max="6" width="6" style="5" customWidth="1"/>
    <col min="7" max="7" width="13" style="5" customWidth="1"/>
    <col min="8" max="8" width="9" style="4" customWidth="1"/>
    <col min="9" max="9" width="12.425781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4</v>
      </c>
      <c r="K3" s="4">
        <f>H3*J3</f>
        <v>71.8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2</v>
      </c>
      <c r="K4" s="4">
        <f>H4*J4</f>
        <v>55.9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2</v>
      </c>
      <c r="K5" s="4">
        <f>H5*J5</f>
        <v>33.9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4</v>
      </c>
      <c r="K6" s="4">
        <f>H6*J6</f>
        <v>47.8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4</v>
      </c>
      <c r="K12" s="4">
        <f>H12*J12</f>
        <v>19.8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6</v>
      </c>
      <c r="K13" s="4">
        <f t="shared" ref="K13" si="0">H13*J13</f>
        <v>29.700000000000003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3</v>
      </c>
      <c r="K16" s="4">
        <f>H16*J16</f>
        <v>41.849999999999994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3</v>
      </c>
      <c r="K17" s="4">
        <f>H17*J17</f>
        <v>32.849999999999994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2</v>
      </c>
      <c r="K20" s="4">
        <f>H20*J20</f>
        <v>25.9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5</v>
      </c>
      <c r="K26" s="1">
        <f t="shared" ref="K26" si="1">H26*J26</f>
        <v>34.75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2</v>
      </c>
      <c r="K33" s="4">
        <f t="shared" ref="K33:K35" si="2">H33*J33</f>
        <v>59.9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1</v>
      </c>
      <c r="K42" s="4">
        <f t="shared" si="3"/>
        <v>29.95</v>
      </c>
    </row>
    <row r="43" spans="1:13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1</v>
      </c>
      <c r="K43" s="4">
        <f t="shared" si="3"/>
        <v>34.950000000000003</v>
      </c>
    </row>
    <row r="45" spans="1:13">
      <c r="A45" s="5" t="s">
        <v>240</v>
      </c>
    </row>
    <row r="46" spans="1:13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1</v>
      </c>
      <c r="K48" s="4">
        <f t="shared" si="4"/>
        <v>5.95</v>
      </c>
    </row>
    <row r="49" spans="1:13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4</v>
      </c>
      <c r="K50" s="4">
        <f t="shared" si="4"/>
        <v>63.8</v>
      </c>
      <c r="M50" s="5" t="s">
        <v>212</v>
      </c>
    </row>
    <row r="51" spans="1:13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6</v>
      </c>
      <c r="K53" s="4">
        <f t="shared" si="4"/>
        <v>11.7</v>
      </c>
    </row>
    <row r="54" spans="1:13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8</v>
      </c>
      <c r="K55" s="4">
        <f t="shared" si="4"/>
        <v>40</v>
      </c>
    </row>
    <row r="56" spans="1:13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4.25" customHeight="1">
      <c r="A68" t="s">
        <v>244</v>
      </c>
    </row>
    <row r="69" spans="1:13" ht="14.25" customHeight="1">
      <c r="C69" t="s">
        <v>246</v>
      </c>
    </row>
    <row r="70" spans="1:13" ht="14.25" customHeight="1">
      <c r="C70" s="5" t="s">
        <v>245</v>
      </c>
    </row>
    <row r="71" spans="1:13">
      <c r="A71" s="5" t="s">
        <v>232</v>
      </c>
    </row>
    <row r="72" spans="1:13">
      <c r="B72" s="5" t="s">
        <v>55</v>
      </c>
      <c r="C72" s="5" t="s">
        <v>89</v>
      </c>
      <c r="D72" s="6" t="s">
        <v>90</v>
      </c>
      <c r="G72" s="5" t="s">
        <v>22</v>
      </c>
      <c r="H72" s="4">
        <v>19.95</v>
      </c>
      <c r="I72" s="5">
        <v>1</v>
      </c>
      <c r="J72" s="5">
        <v>4</v>
      </c>
      <c r="K72" s="4">
        <f>H72*J72</f>
        <v>79.8</v>
      </c>
      <c r="M72" s="5" t="s">
        <v>209</v>
      </c>
    </row>
    <row r="73" spans="1:13" ht="16.5" customHeight="1">
      <c r="B73" s="5" t="s">
        <v>158</v>
      </c>
      <c r="C73" s="5" t="s">
        <v>81</v>
      </c>
      <c r="D73" s="6" t="s">
        <v>82</v>
      </c>
      <c r="G73" s="5" t="s">
        <v>22</v>
      </c>
      <c r="H73" s="4">
        <v>29.95</v>
      </c>
      <c r="I73" s="5">
        <v>2</v>
      </c>
      <c r="J73" s="5">
        <v>0</v>
      </c>
      <c r="K73" s="4">
        <f>H73*J73</f>
        <v>0</v>
      </c>
    </row>
    <row r="75" spans="1:13">
      <c r="A75" s="5" t="s">
        <v>234</v>
      </c>
    </row>
    <row r="76" spans="1:13">
      <c r="B76" s="5" t="s">
        <v>15</v>
      </c>
      <c r="D76" s="6" t="s">
        <v>16</v>
      </c>
      <c r="E76" s="5" t="s">
        <v>17</v>
      </c>
      <c r="G76" s="5" t="s">
        <v>18</v>
      </c>
      <c r="H76" s="4">
        <v>9.9499999999999993</v>
      </c>
      <c r="I76" s="5">
        <v>100</v>
      </c>
      <c r="J76" s="5">
        <v>0</v>
      </c>
      <c r="K76" s="4">
        <f t="shared" ref="K76:K91" si="6">H76*J76</f>
        <v>0</v>
      </c>
    </row>
    <row r="77" spans="1:13">
      <c r="B77" s="5" t="s">
        <v>19</v>
      </c>
      <c r="D77" s="6" t="s">
        <v>20</v>
      </c>
      <c r="E77" s="5" t="s">
        <v>21</v>
      </c>
      <c r="G77" s="5" t="s">
        <v>22</v>
      </c>
      <c r="H77" s="4">
        <v>9.9499999999999993</v>
      </c>
      <c r="I77" s="5">
        <v>100</v>
      </c>
      <c r="J77" s="5">
        <v>0</v>
      </c>
      <c r="K77" s="4">
        <f t="shared" si="6"/>
        <v>0</v>
      </c>
    </row>
    <row r="78" spans="1:13">
      <c r="B78" s="5" t="s">
        <v>25</v>
      </c>
      <c r="D78" s="6" t="s">
        <v>26</v>
      </c>
      <c r="E78" s="5" t="s">
        <v>27</v>
      </c>
      <c r="G78" s="5" t="s">
        <v>22</v>
      </c>
      <c r="H78" s="4">
        <v>8.9499999999999993</v>
      </c>
      <c r="I78" s="5">
        <v>50</v>
      </c>
      <c r="J78" s="5">
        <v>0</v>
      </c>
      <c r="K78" s="4">
        <f t="shared" si="6"/>
        <v>0</v>
      </c>
    </row>
    <row r="79" spans="1:13">
      <c r="B79" s="5" t="s">
        <v>23</v>
      </c>
      <c r="C79" s="5" t="s">
        <v>130</v>
      </c>
      <c r="D79" s="6" t="s">
        <v>131</v>
      </c>
      <c r="G79" s="5" t="s">
        <v>22</v>
      </c>
      <c r="H79" s="4">
        <v>2.95</v>
      </c>
      <c r="I79" s="5">
        <v>100</v>
      </c>
      <c r="J79" s="5">
        <v>0</v>
      </c>
      <c r="K79" s="4">
        <f>H79*J79</f>
        <v>0</v>
      </c>
    </row>
    <row r="80" spans="1:13">
      <c r="B80" s="5" t="s">
        <v>185</v>
      </c>
      <c r="C80" s="5" t="s">
        <v>132</v>
      </c>
      <c r="D80" s="6" t="s">
        <v>133</v>
      </c>
      <c r="G80" s="5" t="s">
        <v>22</v>
      </c>
      <c r="H80" s="4">
        <v>9.9499999999999993</v>
      </c>
      <c r="I80" s="5">
        <v>100</v>
      </c>
      <c r="J80" s="5">
        <v>0</v>
      </c>
      <c r="K80" s="4">
        <f>H80*J80</f>
        <v>0</v>
      </c>
    </row>
    <row r="81" spans="1:12" ht="17.25" customHeight="1">
      <c r="B81" s="5" t="s">
        <v>184</v>
      </c>
      <c r="C81" s="5" t="s">
        <v>134</v>
      </c>
      <c r="D81" s="6" t="s">
        <v>135</v>
      </c>
      <c r="G81" s="5" t="s">
        <v>22</v>
      </c>
      <c r="H81" s="4">
        <v>9.9499999999999993</v>
      </c>
      <c r="I81" s="5">
        <v>100</v>
      </c>
      <c r="J81" s="5">
        <v>0</v>
      </c>
      <c r="K81" s="4">
        <f>H81*J81</f>
        <v>0</v>
      </c>
    </row>
    <row r="82" spans="1:12">
      <c r="B82" s="5" t="s">
        <v>190</v>
      </c>
      <c r="C82" s="5" t="s">
        <v>144</v>
      </c>
      <c r="D82" s="6" t="s">
        <v>148</v>
      </c>
      <c r="G82" s="5" t="s">
        <v>22</v>
      </c>
      <c r="H82" s="4">
        <v>8.9499999999999993</v>
      </c>
      <c r="I82" s="5">
        <v>50</v>
      </c>
      <c r="J82" s="5">
        <v>0</v>
      </c>
      <c r="K82" s="4">
        <f>H82*J82</f>
        <v>0</v>
      </c>
    </row>
    <row r="85" spans="1:12">
      <c r="A85" s="5" t="s">
        <v>237</v>
      </c>
    </row>
    <row r="86" spans="1:12">
      <c r="B86" s="5" t="s">
        <v>44</v>
      </c>
      <c r="C86" s="5" t="s">
        <v>91</v>
      </c>
      <c r="D86" s="6" t="s">
        <v>92</v>
      </c>
      <c r="E86" s="5" t="s">
        <v>242</v>
      </c>
      <c r="G86" s="5" t="s">
        <v>22</v>
      </c>
      <c r="H86" s="4">
        <v>49.95</v>
      </c>
      <c r="I86" s="5">
        <v>1</v>
      </c>
      <c r="J86" s="5">
        <v>1</v>
      </c>
      <c r="K86" s="4">
        <f>H86*J86</f>
        <v>49.95</v>
      </c>
    </row>
    <row r="87" spans="1:12">
      <c r="B87" s="5" t="s">
        <v>159</v>
      </c>
      <c r="C87" s="5" t="s">
        <v>85</v>
      </c>
      <c r="D87" s="6" t="s">
        <v>86</v>
      </c>
      <c r="G87" s="5" t="s">
        <v>22</v>
      </c>
      <c r="H87" s="4">
        <v>5.95</v>
      </c>
      <c r="I87" s="5">
        <v>1</v>
      </c>
      <c r="J87" s="5">
        <v>2</v>
      </c>
      <c r="K87" s="4">
        <f>H87*J87</f>
        <v>11.9</v>
      </c>
      <c r="L87" s="11"/>
    </row>
    <row r="88" spans="1:12">
      <c r="B88" s="5" t="s">
        <v>163</v>
      </c>
      <c r="C88" s="5" t="s">
        <v>161</v>
      </c>
      <c r="D88" s="6" t="s">
        <v>162</v>
      </c>
      <c r="G88" s="5" t="s">
        <v>22</v>
      </c>
      <c r="H88" s="4">
        <v>24.95</v>
      </c>
      <c r="I88" s="5">
        <v>1</v>
      </c>
      <c r="J88" s="5">
        <v>1</v>
      </c>
      <c r="K88" s="4">
        <f>H88*J88</f>
        <v>24.95</v>
      </c>
    </row>
    <row r="90" spans="1:12">
      <c r="A90" s="5" t="s">
        <v>238</v>
      </c>
    </row>
    <row r="91" spans="1:12">
      <c r="B91" s="5" t="s">
        <v>47</v>
      </c>
      <c r="D91" s="6" t="s">
        <v>48</v>
      </c>
      <c r="E91" s="5" t="s">
        <v>49</v>
      </c>
      <c r="G91" s="5" t="s">
        <v>22</v>
      </c>
      <c r="H91" s="4">
        <v>0.95</v>
      </c>
      <c r="I91" s="5" t="s">
        <v>50</v>
      </c>
      <c r="J91" s="5">
        <v>16</v>
      </c>
      <c r="K91" s="4">
        <f t="shared" si="6"/>
        <v>15.2</v>
      </c>
    </row>
    <row r="92" spans="1:12">
      <c r="B92" s="5" t="s">
        <v>51</v>
      </c>
      <c r="D92" s="6" t="s">
        <v>52</v>
      </c>
      <c r="G92" s="5" t="s">
        <v>22</v>
      </c>
      <c r="H92" s="4">
        <v>16.95</v>
      </c>
      <c r="I92" s="5">
        <v>1</v>
      </c>
      <c r="J92" s="5">
        <v>0</v>
      </c>
      <c r="K92" s="4">
        <f>H92*J92</f>
        <v>0</v>
      </c>
    </row>
    <row r="94" spans="1:12">
      <c r="A94" s="5" t="s">
        <v>239</v>
      </c>
    </row>
    <row r="95" spans="1:12">
      <c r="B95" s="5" t="s">
        <v>62</v>
      </c>
      <c r="D95" s="6" t="s">
        <v>63</v>
      </c>
      <c r="E95" s="5">
        <v>346</v>
      </c>
      <c r="G95" s="5" t="s">
        <v>64</v>
      </c>
      <c r="H95" s="4">
        <v>27.17</v>
      </c>
      <c r="I95" s="5" t="s">
        <v>65</v>
      </c>
      <c r="J95" s="5">
        <v>1</v>
      </c>
      <c r="K95" s="4">
        <f>H95*J95</f>
        <v>27.17</v>
      </c>
    </row>
    <row r="96" spans="1:12">
      <c r="B96" s="5" t="s">
        <v>66</v>
      </c>
      <c r="D96" s="6" t="s">
        <v>67</v>
      </c>
      <c r="E96" s="5">
        <v>693</v>
      </c>
      <c r="G96" s="5" t="s">
        <v>64</v>
      </c>
      <c r="H96" s="4">
        <v>12.77</v>
      </c>
      <c r="I96" s="5" t="s">
        <v>68</v>
      </c>
      <c r="J96" s="5">
        <v>0</v>
      </c>
      <c r="K96" s="4">
        <f>H96*J96</f>
        <v>0</v>
      </c>
    </row>
    <row r="97" spans="2:11">
      <c r="B97" s="5" t="s">
        <v>69</v>
      </c>
      <c r="D97" s="6" t="s">
        <v>70</v>
      </c>
      <c r="E97" s="5" t="s">
        <v>71</v>
      </c>
      <c r="G97" s="5" t="s">
        <v>72</v>
      </c>
      <c r="H97" s="4">
        <v>1.52</v>
      </c>
      <c r="I97" s="5">
        <v>1</v>
      </c>
      <c r="J97" s="5">
        <v>8</v>
      </c>
      <c r="K97" s="4">
        <f>H97*J97</f>
        <v>12.16</v>
      </c>
    </row>
    <row r="100" spans="2:11">
      <c r="B100" s="5" t="s">
        <v>188</v>
      </c>
      <c r="C100" s="7" t="s">
        <v>140</v>
      </c>
      <c r="D100" s="6" t="s">
        <v>141</v>
      </c>
      <c r="G100" s="5" t="s">
        <v>22</v>
      </c>
      <c r="H100" s="4">
        <v>3.95</v>
      </c>
      <c r="I100" s="5">
        <v>12</v>
      </c>
      <c r="J100" s="5">
        <v>1</v>
      </c>
      <c r="K100" s="4">
        <f>H100*J100</f>
        <v>3.95</v>
      </c>
    </row>
    <row r="101" spans="2:11">
      <c r="B101" s="5" t="s">
        <v>189</v>
      </c>
      <c r="C101" s="5" t="s">
        <v>142</v>
      </c>
      <c r="D101" s="6" t="s">
        <v>143</v>
      </c>
      <c r="G101" s="5" t="s">
        <v>22</v>
      </c>
      <c r="H101" s="4">
        <v>4.95</v>
      </c>
      <c r="I101" s="5">
        <v>12</v>
      </c>
      <c r="J101" s="5">
        <v>1</v>
      </c>
      <c r="K101" s="4">
        <f>H101*J101</f>
        <v>4.95</v>
      </c>
    </row>
    <row r="102" spans="2:11">
      <c r="B102" s="5" t="s">
        <v>182</v>
      </c>
      <c r="C102" s="5" t="s">
        <v>126</v>
      </c>
      <c r="D102" s="6" t="s">
        <v>127</v>
      </c>
      <c r="G102" s="5" t="s">
        <v>22</v>
      </c>
      <c r="H102" s="4">
        <v>13.95</v>
      </c>
      <c r="I102" s="5">
        <v>12</v>
      </c>
      <c r="J102" s="5">
        <v>0</v>
      </c>
      <c r="K102" s="4">
        <f>H102*J102</f>
        <v>0</v>
      </c>
    </row>
    <row r="103" spans="2:11">
      <c r="B103" s="5" t="s">
        <v>191</v>
      </c>
      <c r="C103" s="5" t="s">
        <v>145</v>
      </c>
      <c r="D103" s="6" t="s">
        <v>149</v>
      </c>
      <c r="G103" s="5" t="s">
        <v>22</v>
      </c>
      <c r="H103" s="4">
        <v>12</v>
      </c>
      <c r="I103" s="5">
        <v>12</v>
      </c>
      <c r="J103" s="5">
        <v>0</v>
      </c>
      <c r="K103" s="4">
        <f>H103*J103</f>
        <v>0</v>
      </c>
    </row>
    <row r="106" spans="2:11">
      <c r="K106" s="4">
        <f>SUM(K2:K105)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N85"/>
  <sheetViews>
    <sheetView zoomScale="130" zoomScaleNormal="130" workbookViewId="0">
      <pane ySplit="780" activePane="bottomLeft"/>
      <selection activeCell="B2" sqref="B2"/>
      <selection pane="bottomLeft" activeCell="A32" sqref="A32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K4" s="8"/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  <c r="K14" s="8"/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  <c r="K16" s="8"/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  <c r="K22" s="8"/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  <c r="K23" s="8"/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  <c r="K25" s="8"/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  <c r="K31" s="8"/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  <c r="K35" s="8"/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K37" s="8"/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  <c r="K38" s="8"/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  <c r="K39" s="8"/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  <c r="K40" s="8"/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  <c r="K41" s="8"/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  <c r="K43" s="8"/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  <c r="K44" s="8"/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  <c r="K45" s="8"/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  <c r="K46" s="8"/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  <c r="K47" s="8"/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  <c r="K48" s="8"/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  <c r="K49" s="8"/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  <c r="K50" s="8"/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  <c r="K51" s="8"/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  <c r="K54" s="8"/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  <c r="K55" s="8"/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K56" s="8"/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  <c r="K57" s="8"/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  <c r="K59" s="8"/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  <c r="K65" s="8"/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  <c r="K66" s="8"/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  <c r="K69" s="8"/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  <c r="K72" s="10"/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  <c r="K79" s="10"/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  <c r="K80" s="10"/>
    </row>
    <row r="81" spans="1:11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  <c r="K81" s="10"/>
    </row>
    <row r="82" spans="1:11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  <c r="K82" s="10"/>
    </row>
    <row r="83" spans="1:11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  <c r="K83" s="10"/>
    </row>
    <row r="84" spans="1:11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  <c r="K84" s="10"/>
    </row>
    <row r="85" spans="1:11">
      <c r="J85" s="1">
        <f>SUM(J2:J84)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M139"/>
  <sheetViews>
    <sheetView tabSelected="1" zoomScale="115" zoomScaleNormal="115" workbookViewId="0">
      <pane ySplit="870" topLeftCell="A109" activePane="bottomLeft"/>
      <selection activeCell="C1" sqref="A1:XFD1048576"/>
      <selection pane="bottomLeft" activeCell="J90" sqref="J90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7.28515625" style="6" customWidth="1"/>
    <col min="5" max="5" width="14.5703125" style="5" customWidth="1"/>
    <col min="6" max="6" width="6" style="5" customWidth="1"/>
    <col min="7" max="7" width="16.140625" style="5" customWidth="1"/>
    <col min="8" max="8" width="11" style="4" customWidth="1"/>
    <col min="9" max="9" width="14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0</v>
      </c>
      <c r="K3" s="4">
        <f>H3*J3</f>
        <v>0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0</v>
      </c>
      <c r="K4" s="4">
        <f>H4*J4</f>
        <v>0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0</v>
      </c>
      <c r="K5" s="4">
        <f>H5*J5</f>
        <v>0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0</v>
      </c>
      <c r="K6" s="4">
        <f>H6*J6</f>
        <v>0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0</v>
      </c>
      <c r="K7" s="4">
        <f>H7*J7</f>
        <v>0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0</v>
      </c>
      <c r="K10" s="4">
        <f>H10*J10</f>
        <v>0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0</v>
      </c>
      <c r="K12" s="4">
        <f>H12*J12</f>
        <v>0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0</v>
      </c>
      <c r="K13" s="4">
        <f t="shared" ref="K13" si="0">H13*J13</f>
        <v>0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0</v>
      </c>
      <c r="K16" s="4">
        <f>H16*J16</f>
        <v>0</v>
      </c>
    </row>
    <row r="17" spans="1:11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0</v>
      </c>
      <c r="K17" s="4">
        <f>H17*J17</f>
        <v>0</v>
      </c>
    </row>
    <row r="19" spans="1:11">
      <c r="A19" s="5" t="s">
        <v>231</v>
      </c>
    </row>
    <row r="20" spans="1:11" s="13" customFormat="1">
      <c r="B20" s="13" t="s">
        <v>176</v>
      </c>
      <c r="C20" s="13" t="s">
        <v>113</v>
      </c>
      <c r="D20" s="30" t="s">
        <v>230</v>
      </c>
      <c r="G20" s="13" t="s">
        <v>22</v>
      </c>
      <c r="H20" s="17">
        <v>12.95</v>
      </c>
      <c r="I20" s="13">
        <v>2</v>
      </c>
      <c r="J20" s="13">
        <v>1</v>
      </c>
      <c r="K20" s="17">
        <f>H20*J20</f>
        <v>12.95</v>
      </c>
    </row>
    <row r="22" spans="1:11">
      <c r="A22" s="5" t="s">
        <v>233</v>
      </c>
    </row>
    <row r="23" spans="1:11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0</v>
      </c>
      <c r="K23" s="4">
        <f>H23*J23</f>
        <v>0</v>
      </c>
    </row>
    <row r="24" spans="1:11" s="11" customFormat="1">
      <c r="A24" s="21"/>
      <c r="B24" s="21" t="s">
        <v>36</v>
      </c>
      <c r="C24" s="21"/>
      <c r="D24" s="22" t="s">
        <v>32</v>
      </c>
      <c r="E24" s="21" t="s">
        <v>37</v>
      </c>
      <c r="F24" s="21"/>
      <c r="G24" s="21" t="s">
        <v>22</v>
      </c>
      <c r="H24" s="23">
        <v>15.95</v>
      </c>
      <c r="I24" s="21">
        <v>3</v>
      </c>
      <c r="J24" s="21">
        <v>1</v>
      </c>
      <c r="K24" s="23">
        <f>H24*J24</f>
        <v>15.95</v>
      </c>
    </row>
    <row r="25" spans="1:1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1" s="12" customFormat="1">
      <c r="A26" s="13"/>
      <c r="B26" s="12" t="s">
        <v>192</v>
      </c>
      <c r="C26" s="12" t="s">
        <v>146</v>
      </c>
      <c r="D26" s="27" t="s">
        <v>150</v>
      </c>
      <c r="G26" s="12" t="s">
        <v>22</v>
      </c>
      <c r="H26" s="29">
        <v>6.95</v>
      </c>
      <c r="I26" s="12">
        <v>2</v>
      </c>
      <c r="J26" s="12">
        <v>4</v>
      </c>
      <c r="K26" s="29">
        <f t="shared" ref="K26" si="1">H26*J26</f>
        <v>27.8</v>
      </c>
    </row>
    <row r="27" spans="1:11" s="13" customFormat="1">
      <c r="B27" s="13" t="s">
        <v>183</v>
      </c>
      <c r="C27" s="13" t="s">
        <v>128</v>
      </c>
      <c r="D27" s="30" t="s">
        <v>129</v>
      </c>
      <c r="G27" s="13" t="s">
        <v>22</v>
      </c>
      <c r="H27" s="17">
        <v>3.95</v>
      </c>
      <c r="I27" s="13">
        <v>6</v>
      </c>
      <c r="J27" s="13">
        <v>2</v>
      </c>
      <c r="K27" s="17">
        <f>H27*J27</f>
        <v>7.9</v>
      </c>
    </row>
    <row r="28" spans="1:11" s="21" customFormat="1">
      <c r="B28" s="21" t="s">
        <v>186</v>
      </c>
      <c r="C28" s="21" t="s">
        <v>136</v>
      </c>
      <c r="D28" s="22" t="s">
        <v>137</v>
      </c>
      <c r="G28" s="21" t="s">
        <v>22</v>
      </c>
      <c r="H28" s="23">
        <v>1.95</v>
      </c>
      <c r="I28" s="21">
        <v>12</v>
      </c>
      <c r="J28" s="21">
        <v>2</v>
      </c>
      <c r="K28" s="23">
        <f>H28*J28</f>
        <v>3.9</v>
      </c>
    </row>
    <row r="29" spans="1:1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1" ht="14.25" customHeight="1">
      <c r="A31" s="5" t="s">
        <v>236</v>
      </c>
    </row>
    <row r="32" spans="1:11" s="21" customFormat="1" ht="14.25" customHeight="1">
      <c r="B32" s="21" t="s">
        <v>347</v>
      </c>
      <c r="C32" s="24" t="s">
        <v>365</v>
      </c>
      <c r="D32" s="31"/>
      <c r="G32" s="21" t="s">
        <v>22</v>
      </c>
      <c r="H32" s="23">
        <v>69.959999999999994</v>
      </c>
      <c r="I32" s="21">
        <v>1</v>
      </c>
      <c r="J32" s="21">
        <v>1</v>
      </c>
      <c r="K32" s="23">
        <f>H32*J32</f>
        <v>69.959999999999994</v>
      </c>
    </row>
    <row r="33" spans="1:13">
      <c r="B33" s="5" t="s">
        <v>41</v>
      </c>
      <c r="D33" s="6" t="s">
        <v>42</v>
      </c>
      <c r="G33" s="5" t="s">
        <v>22</v>
      </c>
      <c r="H33" s="4">
        <v>13.95</v>
      </c>
      <c r="I33" s="5" t="s">
        <v>43</v>
      </c>
      <c r="J33" s="5">
        <v>0</v>
      </c>
      <c r="K33" s="4">
        <f>H33*J33</f>
        <v>0</v>
      </c>
    </row>
    <row r="34" spans="1:13">
      <c r="B34" s="5" t="s">
        <v>219</v>
      </c>
      <c r="C34" s="5" t="s">
        <v>220</v>
      </c>
      <c r="D34" s="6" t="s">
        <v>221</v>
      </c>
      <c r="E34" s="5">
        <v>32</v>
      </c>
      <c r="G34" s="5" t="s">
        <v>22</v>
      </c>
      <c r="H34" s="4">
        <v>29.95</v>
      </c>
      <c r="I34" s="5">
        <v>2</v>
      </c>
      <c r="J34" s="5">
        <v>0</v>
      </c>
      <c r="K34" s="4">
        <f t="shared" ref="K34:K36" si="2">H34*J34</f>
        <v>0</v>
      </c>
    </row>
    <row r="35" spans="1:13">
      <c r="B35" s="5" t="s">
        <v>223</v>
      </c>
      <c r="C35" s="5" t="s">
        <v>224</v>
      </c>
      <c r="D35" s="6" t="s">
        <v>221</v>
      </c>
      <c r="E35" s="5">
        <v>24</v>
      </c>
      <c r="G35" s="5" t="s">
        <v>22</v>
      </c>
      <c r="H35" s="4">
        <v>22.95</v>
      </c>
      <c r="I35" s="5">
        <v>2</v>
      </c>
      <c r="J35" s="5">
        <v>0</v>
      </c>
      <c r="K35" s="4">
        <f t="shared" si="2"/>
        <v>0</v>
      </c>
    </row>
    <row r="36" spans="1:13">
      <c r="B36" s="5" t="s">
        <v>225</v>
      </c>
      <c r="C36" s="5" t="s">
        <v>226</v>
      </c>
      <c r="D36" s="6" t="s">
        <v>221</v>
      </c>
      <c r="E36" s="5">
        <v>16</v>
      </c>
      <c r="G36" s="5" t="s">
        <v>22</v>
      </c>
      <c r="H36" s="4">
        <v>16.95</v>
      </c>
      <c r="I36" s="5">
        <v>2</v>
      </c>
      <c r="J36" s="5">
        <v>0</v>
      </c>
      <c r="K36" s="4">
        <f t="shared" si="2"/>
        <v>0</v>
      </c>
    </row>
    <row r="38" spans="1:13">
      <c r="A38" t="s">
        <v>243</v>
      </c>
    </row>
    <row r="39" spans="1:13">
      <c r="A39" s="21"/>
      <c r="B39" s="21" t="s">
        <v>157</v>
      </c>
      <c r="C39" s="21" t="s">
        <v>77</v>
      </c>
      <c r="D39" s="22" t="s">
        <v>78</v>
      </c>
      <c r="E39" s="21"/>
      <c r="F39" s="21"/>
      <c r="G39" s="21" t="s">
        <v>22</v>
      </c>
      <c r="H39" s="23">
        <v>27.95</v>
      </c>
      <c r="I39" s="21">
        <v>1</v>
      </c>
      <c r="J39" s="21">
        <v>4</v>
      </c>
      <c r="K39" s="23">
        <f t="shared" ref="K39:K44" si="3">H39*J39</f>
        <v>111.8</v>
      </c>
    </row>
    <row r="40" spans="1:13">
      <c r="B40" s="5" t="s">
        <v>178</v>
      </c>
      <c r="C40" s="5" t="s">
        <v>119</v>
      </c>
      <c r="D40" s="6" t="s">
        <v>120</v>
      </c>
      <c r="G40" s="5" t="s">
        <v>22</v>
      </c>
      <c r="H40" s="4">
        <v>17.95</v>
      </c>
      <c r="I40" s="5">
        <v>1</v>
      </c>
      <c r="J40" s="5">
        <v>0</v>
      </c>
      <c r="K40" s="4">
        <f t="shared" si="3"/>
        <v>0</v>
      </c>
    </row>
    <row r="41" spans="1:13">
      <c r="B41" s="5" t="s">
        <v>160</v>
      </c>
      <c r="C41" s="5" t="s">
        <v>87</v>
      </c>
      <c r="D41" s="6" t="s">
        <v>88</v>
      </c>
      <c r="G41" s="5" t="s">
        <v>22</v>
      </c>
      <c r="H41" s="4">
        <v>22.95</v>
      </c>
      <c r="I41" s="5">
        <v>2</v>
      </c>
      <c r="J41" s="5">
        <v>0</v>
      </c>
      <c r="K41" s="4">
        <f t="shared" si="3"/>
        <v>0</v>
      </c>
    </row>
    <row r="42" spans="1:13" s="21" customFormat="1">
      <c r="B42" s="24" t="s">
        <v>362</v>
      </c>
      <c r="C42" s="21" t="s">
        <v>124</v>
      </c>
      <c r="D42" s="22" t="s">
        <v>125</v>
      </c>
      <c r="G42" s="21" t="s">
        <v>22</v>
      </c>
      <c r="H42" s="23">
        <v>6.95</v>
      </c>
      <c r="I42" s="21">
        <v>2</v>
      </c>
      <c r="J42" s="21">
        <v>3</v>
      </c>
      <c r="K42" s="23">
        <f t="shared" si="3"/>
        <v>20.85</v>
      </c>
    </row>
    <row r="43" spans="1:13">
      <c r="B43" s="5" t="s">
        <v>214</v>
      </c>
      <c r="C43" s="5" t="s">
        <v>215</v>
      </c>
      <c r="G43" s="5" t="s">
        <v>22</v>
      </c>
      <c r="H43" s="4">
        <v>29.95</v>
      </c>
      <c r="I43" s="5">
        <v>1</v>
      </c>
      <c r="J43" s="5">
        <v>0</v>
      </c>
      <c r="K43" s="4">
        <f t="shared" si="3"/>
        <v>0</v>
      </c>
    </row>
    <row r="44" spans="1:13">
      <c r="B44" s="5" t="s">
        <v>216</v>
      </c>
      <c r="C44" s="5" t="s">
        <v>217</v>
      </c>
      <c r="D44" s="6" t="s">
        <v>218</v>
      </c>
      <c r="G44" s="5" t="s">
        <v>22</v>
      </c>
      <c r="H44" s="4">
        <v>34.950000000000003</v>
      </c>
      <c r="I44" s="5">
        <v>1</v>
      </c>
      <c r="J44" s="5">
        <v>0</v>
      </c>
      <c r="K44" s="4">
        <f t="shared" si="3"/>
        <v>0</v>
      </c>
    </row>
    <row r="46" spans="1:13">
      <c r="A46" s="5" t="s">
        <v>240</v>
      </c>
    </row>
    <row r="47" spans="1:13">
      <c r="B47" s="5" t="s">
        <v>198</v>
      </c>
      <c r="C47" s="5" t="s">
        <v>197</v>
      </c>
      <c r="D47" s="6" t="s">
        <v>199</v>
      </c>
      <c r="E47" s="5" t="s">
        <v>201</v>
      </c>
      <c r="G47" s="5" t="s">
        <v>200</v>
      </c>
      <c r="H47" s="4">
        <v>25</v>
      </c>
      <c r="I47" s="5">
        <v>1</v>
      </c>
      <c r="J47" s="5">
        <v>0</v>
      </c>
      <c r="K47" s="4">
        <f t="shared" ref="K47:K57" si="4">H47*J47</f>
        <v>0</v>
      </c>
    </row>
    <row r="48" spans="1:13">
      <c r="B48" s="5" t="s">
        <v>177</v>
      </c>
      <c r="C48" s="5" t="s">
        <v>117</v>
      </c>
      <c r="D48" s="6" t="s">
        <v>118</v>
      </c>
      <c r="G48" s="5" t="s">
        <v>22</v>
      </c>
      <c r="H48" s="4">
        <v>24.95</v>
      </c>
      <c r="I48" s="5">
        <v>1</v>
      </c>
      <c r="J48" s="5">
        <v>0</v>
      </c>
      <c r="K48" s="4">
        <f t="shared" si="4"/>
        <v>0</v>
      </c>
      <c r="L48" s="5" t="s">
        <v>211</v>
      </c>
      <c r="M48" s="5" t="s">
        <v>210</v>
      </c>
    </row>
    <row r="49" spans="1:13">
      <c r="B49" s="4" t="s">
        <v>38</v>
      </c>
      <c r="C49" s="5" t="s">
        <v>115</v>
      </c>
      <c r="D49" s="6" t="s">
        <v>116</v>
      </c>
      <c r="G49" s="5" t="s">
        <v>22</v>
      </c>
      <c r="H49" s="4">
        <v>5.95</v>
      </c>
      <c r="I49" s="5">
        <v>2</v>
      </c>
      <c r="J49" s="5">
        <v>0</v>
      </c>
      <c r="K49" s="4">
        <f t="shared" si="4"/>
        <v>0</v>
      </c>
    </row>
    <row r="50" spans="1:13">
      <c r="B50" s="5" t="s">
        <v>58</v>
      </c>
      <c r="D50" s="6" t="s">
        <v>59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</row>
    <row r="51" spans="1:13" ht="12" customHeight="1">
      <c r="B51" s="5" t="s">
        <v>181</v>
      </c>
      <c r="C51" s="5" t="s">
        <v>122</v>
      </c>
      <c r="D51" s="6" t="s">
        <v>123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  <c r="M51" s="5" t="s">
        <v>212</v>
      </c>
    </row>
    <row r="52" spans="1:13">
      <c r="B52" s="5" t="s">
        <v>195</v>
      </c>
      <c r="C52" s="5" t="s">
        <v>194</v>
      </c>
      <c r="D52" s="6" t="s">
        <v>193</v>
      </c>
      <c r="G52" s="5" t="s">
        <v>22</v>
      </c>
      <c r="H52" s="4">
        <v>15.95</v>
      </c>
      <c r="I52" s="5">
        <v>1</v>
      </c>
      <c r="J52" s="5">
        <v>0</v>
      </c>
      <c r="K52" s="4">
        <f t="shared" si="4"/>
        <v>0</v>
      </c>
    </row>
    <row r="53" spans="1:13">
      <c r="C53" s="5" t="s">
        <v>146</v>
      </c>
      <c r="D53" s="6" t="s">
        <v>151</v>
      </c>
      <c r="G53" s="5" t="s">
        <v>22</v>
      </c>
      <c r="J53" s="5">
        <v>0</v>
      </c>
      <c r="K53" s="4">
        <f t="shared" si="4"/>
        <v>0</v>
      </c>
    </row>
    <row r="54" spans="1:13">
      <c r="B54" s="5" t="s">
        <v>60</v>
      </c>
      <c r="D54" s="6" t="s">
        <v>61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>
      <c r="B55" s="5" t="s">
        <v>156</v>
      </c>
      <c r="C55" s="5" t="s">
        <v>79</v>
      </c>
      <c r="D55" s="6" t="s">
        <v>80</v>
      </c>
      <c r="G55" s="5" t="s">
        <v>22</v>
      </c>
      <c r="H55" s="4">
        <v>1.95</v>
      </c>
      <c r="I55" s="5">
        <v>1</v>
      </c>
      <c r="J55" s="5">
        <v>0</v>
      </c>
      <c r="K55" s="4">
        <f t="shared" si="4"/>
        <v>0</v>
      </c>
    </row>
    <row r="56" spans="1:13" ht="25.5">
      <c r="B56" s="5" t="s">
        <v>202</v>
      </c>
      <c r="C56" s="5" t="s">
        <v>205</v>
      </c>
      <c r="D56" s="6" t="s">
        <v>206</v>
      </c>
      <c r="E56" s="5" t="s">
        <v>203</v>
      </c>
      <c r="G56" s="5" t="s">
        <v>204</v>
      </c>
      <c r="H56" s="4">
        <v>5</v>
      </c>
      <c r="I56" s="5">
        <v>1</v>
      </c>
      <c r="J56" s="5">
        <v>0</v>
      </c>
      <c r="K56" s="4">
        <f t="shared" si="4"/>
        <v>0</v>
      </c>
    </row>
    <row r="57" spans="1:13">
      <c r="B57" s="5" t="s">
        <v>196</v>
      </c>
      <c r="C57" s="5" t="s">
        <v>83</v>
      </c>
      <c r="D57" s="6" t="s">
        <v>84</v>
      </c>
      <c r="G57" s="5" t="s">
        <v>22</v>
      </c>
      <c r="H57" s="4">
        <v>79.95</v>
      </c>
      <c r="I57" s="5">
        <v>1</v>
      </c>
      <c r="J57" s="5">
        <v>0</v>
      </c>
      <c r="K57" s="4">
        <f t="shared" si="4"/>
        <v>0</v>
      </c>
    </row>
    <row r="59" spans="1:13" ht="16.5" customHeight="1">
      <c r="A59" s="5" t="s">
        <v>235</v>
      </c>
    </row>
    <row r="60" spans="1:13">
      <c r="B60" s="5" t="s">
        <v>28</v>
      </c>
      <c r="D60" s="6" t="s">
        <v>29</v>
      </c>
      <c r="G60" s="5" t="s">
        <v>22</v>
      </c>
      <c r="H60" s="4">
        <v>24.95</v>
      </c>
      <c r="I60" s="5">
        <v>1</v>
      </c>
      <c r="J60" s="5">
        <v>0</v>
      </c>
      <c r="K60" s="4">
        <f>H60*J60</f>
        <v>0</v>
      </c>
    </row>
    <row r="61" spans="1:13" s="21" customFormat="1" ht="25.5">
      <c r="B61" s="24" t="s">
        <v>359</v>
      </c>
      <c r="C61" s="21" t="s">
        <v>93</v>
      </c>
      <c r="D61" s="22" t="s">
        <v>94</v>
      </c>
      <c r="G61" s="21" t="s">
        <v>22</v>
      </c>
      <c r="H61" s="23">
        <v>9.9499999999999993</v>
      </c>
      <c r="I61" s="21">
        <v>2</v>
      </c>
      <c r="J61" s="21">
        <v>1</v>
      </c>
      <c r="K61" s="23">
        <f>H61*J61</f>
        <v>9.9499999999999993</v>
      </c>
    </row>
    <row r="62" spans="1:13" ht="25.5">
      <c r="B62" s="5" t="s">
        <v>28</v>
      </c>
      <c r="C62" s="5" t="s">
        <v>146</v>
      </c>
      <c r="D62" s="6" t="s">
        <v>152</v>
      </c>
      <c r="G62" s="5" t="s">
        <v>22</v>
      </c>
      <c r="H62" s="4">
        <v>24.95</v>
      </c>
      <c r="I62" s="5">
        <v>1</v>
      </c>
      <c r="J62" s="5">
        <v>0</v>
      </c>
      <c r="K62" s="4">
        <f>H62*J62</f>
        <v>0</v>
      </c>
    </row>
    <row r="63" spans="1:13" s="21" customFormat="1">
      <c r="B63" s="21" t="s">
        <v>360</v>
      </c>
      <c r="C63" s="24" t="s">
        <v>361</v>
      </c>
      <c r="D63" s="25"/>
      <c r="G63" s="21" t="s">
        <v>22</v>
      </c>
      <c r="H63" s="23">
        <v>10.95</v>
      </c>
      <c r="I63" s="21">
        <v>1</v>
      </c>
      <c r="J63" s="21">
        <v>1</v>
      </c>
      <c r="K63" s="23">
        <f>H63*J63</f>
        <v>10.95</v>
      </c>
    </row>
    <row r="69" spans="1:13" ht="14.25" customHeight="1">
      <c r="A69" s="5" t="s">
        <v>241</v>
      </c>
    </row>
    <row r="70" spans="1:13">
      <c r="B70" s="5" t="s">
        <v>154</v>
      </c>
      <c r="C70" s="5" t="s">
        <v>73</v>
      </c>
      <c r="G70" s="5" t="s">
        <v>22</v>
      </c>
      <c r="H70" s="4">
        <v>89.95</v>
      </c>
      <c r="I70" s="5">
        <v>1</v>
      </c>
      <c r="J70" s="5">
        <v>0</v>
      </c>
      <c r="K70" s="4">
        <f>H70*J70</f>
        <v>0</v>
      </c>
      <c r="M70" s="5" t="s">
        <v>207</v>
      </c>
    </row>
    <row r="71" spans="1:13">
      <c r="C71" s="5" t="s">
        <v>74</v>
      </c>
      <c r="J71" s="5">
        <v>0</v>
      </c>
      <c r="K71" s="4">
        <f>H71*J71</f>
        <v>0</v>
      </c>
      <c r="M71" s="5" t="s">
        <v>208</v>
      </c>
    </row>
    <row r="72" spans="1:13">
      <c r="B72" s="5" t="s">
        <v>155</v>
      </c>
      <c r="C72" s="5" t="s">
        <v>75</v>
      </c>
      <c r="G72" s="5" t="s">
        <v>22</v>
      </c>
      <c r="H72" s="4">
        <v>79.95</v>
      </c>
      <c r="I72" s="5">
        <v>1</v>
      </c>
      <c r="J72" s="5">
        <v>0</v>
      </c>
      <c r="K72" s="4">
        <f>H72*J72</f>
        <v>0</v>
      </c>
    </row>
    <row r="74" spans="1:13">
      <c r="A74" t="s">
        <v>330</v>
      </c>
      <c r="D74" s="5"/>
      <c r="H74" s="5"/>
    </row>
    <row r="75" spans="1:13" s="18" customFormat="1" ht="25.5">
      <c r="B75" s="14" t="s">
        <v>331</v>
      </c>
      <c r="C75" s="18" t="s">
        <v>332</v>
      </c>
      <c r="D75" s="26" t="s">
        <v>333</v>
      </c>
      <c r="G75" s="18" t="s">
        <v>334</v>
      </c>
      <c r="H75" s="20">
        <v>6.95</v>
      </c>
      <c r="I75" s="18">
        <v>1</v>
      </c>
      <c r="J75" s="18">
        <v>2</v>
      </c>
      <c r="K75" s="20">
        <f t="shared" ref="K75:K77" si="5">H75*J75</f>
        <v>13.9</v>
      </c>
    </row>
    <row r="76" spans="1:13" s="13" customFormat="1">
      <c r="B76" s="12" t="s">
        <v>335</v>
      </c>
      <c r="C76" s="13" t="s">
        <v>336</v>
      </c>
      <c r="D76" s="27" t="s">
        <v>337</v>
      </c>
      <c r="G76" s="13" t="s">
        <v>334</v>
      </c>
      <c r="H76" s="17">
        <v>8.9499999999999993</v>
      </c>
      <c r="I76" s="13">
        <v>2</v>
      </c>
      <c r="J76" s="13">
        <v>0</v>
      </c>
      <c r="K76" s="20">
        <f t="shared" si="5"/>
        <v>0</v>
      </c>
      <c r="M76" s="12" t="s">
        <v>338</v>
      </c>
    </row>
    <row r="77" spans="1:13" s="21" customFormat="1" ht="14.25" customHeight="1">
      <c r="C77" s="21" t="s">
        <v>363</v>
      </c>
      <c r="D77" s="22"/>
      <c r="G77" s="21" t="s">
        <v>364</v>
      </c>
      <c r="H77" s="23">
        <v>6.99</v>
      </c>
      <c r="I77" s="21">
        <v>2</v>
      </c>
      <c r="J77" s="21">
        <v>1</v>
      </c>
      <c r="K77" s="23">
        <f t="shared" si="5"/>
        <v>6.99</v>
      </c>
    </row>
    <row r="78" spans="1:13" ht="17.25" customHeight="1">
      <c r="A78" t="s">
        <v>244</v>
      </c>
      <c r="K78" s="28"/>
    </row>
    <row r="79" spans="1:13" ht="14.25" customHeight="1">
      <c r="C79" t="s">
        <v>246</v>
      </c>
      <c r="K79" s="28"/>
    </row>
    <row r="80" spans="1:13" s="13" customFormat="1" ht="16.5" customHeight="1">
      <c r="B80" s="12" t="s">
        <v>256</v>
      </c>
      <c r="C80" s="12" t="s">
        <v>249</v>
      </c>
      <c r="D80" s="27" t="s">
        <v>250</v>
      </c>
      <c r="E80" s="12" t="s">
        <v>257</v>
      </c>
      <c r="G80" s="13" t="s">
        <v>248</v>
      </c>
      <c r="H80" s="17">
        <v>25.52</v>
      </c>
      <c r="I80" s="13">
        <v>1</v>
      </c>
      <c r="J80" s="13">
        <v>0</v>
      </c>
      <c r="K80" s="17">
        <f>H80*J80</f>
        <v>0</v>
      </c>
      <c r="M80" s="12" t="s">
        <v>366</v>
      </c>
    </row>
    <row r="81" spans="1:13" s="18" customFormat="1" ht="16.5" customHeight="1">
      <c r="B81" s="14"/>
      <c r="C81" s="14"/>
      <c r="D81" s="26"/>
      <c r="E81" s="14"/>
      <c r="H81" s="20"/>
      <c r="K81" s="20"/>
    </row>
    <row r="82" spans="1:13" ht="16.5" customHeight="1">
      <c r="C82"/>
      <c r="D82" s="3"/>
    </row>
    <row r="83" spans="1:13" ht="14.25" customHeight="1">
      <c r="A83" s="5" t="s">
        <v>232</v>
      </c>
      <c r="C83"/>
      <c r="D83" s="3"/>
    </row>
    <row r="84" spans="1:13" ht="12.75" customHeight="1">
      <c r="B84" s="5" t="s">
        <v>55</v>
      </c>
      <c r="C84" s="5" t="s">
        <v>89</v>
      </c>
      <c r="D84" s="6" t="s">
        <v>90</v>
      </c>
      <c r="E84" s="5" t="s">
        <v>258</v>
      </c>
      <c r="G84" s="5" t="s">
        <v>22</v>
      </c>
      <c r="H84" s="4">
        <v>19.95</v>
      </c>
      <c r="I84" s="5">
        <v>1</v>
      </c>
      <c r="J84" s="5">
        <v>0</v>
      </c>
      <c r="K84" s="4">
        <f>H84*J84</f>
        <v>0</v>
      </c>
      <c r="M84" s="5" t="s">
        <v>209</v>
      </c>
    </row>
    <row r="85" spans="1:13" ht="16.5" customHeight="1">
      <c r="B85" s="5" t="s">
        <v>158</v>
      </c>
      <c r="C85" s="5" t="s">
        <v>81</v>
      </c>
      <c r="D85" s="3" t="s">
        <v>251</v>
      </c>
      <c r="E85" s="5" t="s">
        <v>252</v>
      </c>
      <c r="G85" s="5" t="s">
        <v>22</v>
      </c>
      <c r="H85" s="4">
        <v>29.95</v>
      </c>
      <c r="I85" s="5">
        <v>2</v>
      </c>
      <c r="J85" s="5">
        <v>0</v>
      </c>
      <c r="K85" s="4">
        <f t="shared" ref="K85:K90" si="6">H85*J85</f>
        <v>0</v>
      </c>
    </row>
    <row r="86" spans="1:13" ht="16.5" customHeight="1">
      <c r="B86" t="s">
        <v>253</v>
      </c>
      <c r="D86" s="3" t="s">
        <v>251</v>
      </c>
      <c r="E86" t="s">
        <v>258</v>
      </c>
      <c r="G86" s="5" t="s">
        <v>22</v>
      </c>
      <c r="H86" s="4">
        <v>29.95</v>
      </c>
      <c r="I86" s="5">
        <v>2</v>
      </c>
      <c r="J86" s="5">
        <v>0</v>
      </c>
      <c r="K86" s="4">
        <f t="shared" si="6"/>
        <v>0</v>
      </c>
    </row>
    <row r="88" spans="1:13" s="21" customFormat="1">
      <c r="A88" s="24" t="s">
        <v>343</v>
      </c>
      <c r="D88" s="22"/>
      <c r="H88" s="23"/>
      <c r="K88" s="23"/>
    </row>
    <row r="89" spans="1:13" s="13" customFormat="1">
      <c r="A89" s="12"/>
      <c r="B89" s="13" t="s">
        <v>264</v>
      </c>
      <c r="D89" s="27" t="s">
        <v>265</v>
      </c>
      <c r="G89" s="13" t="s">
        <v>344</v>
      </c>
      <c r="H89" s="17">
        <v>99.95</v>
      </c>
      <c r="I89" s="13">
        <v>1</v>
      </c>
      <c r="J89" s="13">
        <v>0</v>
      </c>
      <c r="K89" s="17">
        <f t="shared" si="6"/>
        <v>0</v>
      </c>
      <c r="M89" s="12" t="s">
        <v>369</v>
      </c>
    </row>
    <row r="90" spans="1:13" s="13" customFormat="1" ht="25.5">
      <c r="A90" s="12"/>
      <c r="B90" s="13" t="s">
        <v>345</v>
      </c>
      <c r="D90" s="27" t="s">
        <v>346</v>
      </c>
      <c r="G90" s="13" t="s">
        <v>344</v>
      </c>
      <c r="H90" s="17">
        <v>32.950000000000003</v>
      </c>
      <c r="I90" s="13">
        <v>1</v>
      </c>
      <c r="J90" s="12">
        <v>0</v>
      </c>
      <c r="K90" s="17">
        <f t="shared" si="6"/>
        <v>0</v>
      </c>
    </row>
    <row r="93" spans="1:13">
      <c r="A93" s="5" t="s">
        <v>234</v>
      </c>
    </row>
    <row r="94" spans="1:13">
      <c r="B94" s="5" t="s">
        <v>15</v>
      </c>
      <c r="D94" s="6" t="s">
        <v>16</v>
      </c>
      <c r="E94" s="5" t="s">
        <v>17</v>
      </c>
      <c r="G94" s="5" t="s">
        <v>18</v>
      </c>
      <c r="H94" s="4">
        <v>9.9499999999999993</v>
      </c>
      <c r="I94" s="5">
        <v>100</v>
      </c>
      <c r="J94" s="5">
        <v>0</v>
      </c>
      <c r="K94" s="4">
        <f t="shared" ref="K94:K117" si="7">H94*J94</f>
        <v>0</v>
      </c>
    </row>
    <row r="95" spans="1:13">
      <c r="B95" s="5" t="s">
        <v>19</v>
      </c>
      <c r="D95" s="6" t="s">
        <v>20</v>
      </c>
      <c r="E95" s="5" t="s">
        <v>21</v>
      </c>
      <c r="G95" s="5" t="s">
        <v>22</v>
      </c>
      <c r="H95" s="4">
        <v>9.9499999999999993</v>
      </c>
      <c r="I95" s="5">
        <v>100</v>
      </c>
      <c r="J95" s="5">
        <v>0</v>
      </c>
      <c r="K95" s="4">
        <f t="shared" si="7"/>
        <v>0</v>
      </c>
    </row>
    <row r="96" spans="1:13">
      <c r="B96" s="5" t="s">
        <v>25</v>
      </c>
      <c r="D96" s="6" t="s">
        <v>26</v>
      </c>
      <c r="E96" s="5" t="s">
        <v>27</v>
      </c>
      <c r="G96" s="5" t="s">
        <v>22</v>
      </c>
      <c r="H96" s="4">
        <v>8.9499999999999993</v>
      </c>
      <c r="I96" s="5">
        <v>50</v>
      </c>
      <c r="J96" s="5">
        <v>0</v>
      </c>
      <c r="K96" s="4">
        <f t="shared" si="7"/>
        <v>0</v>
      </c>
    </row>
    <row r="97" spans="1:13">
      <c r="B97" s="5" t="s">
        <v>23</v>
      </c>
      <c r="C97" s="5" t="s">
        <v>130</v>
      </c>
      <c r="D97" s="6" t="s">
        <v>131</v>
      </c>
      <c r="G97" s="5" t="s">
        <v>22</v>
      </c>
      <c r="H97" s="4">
        <v>2.95</v>
      </c>
      <c r="I97" s="5">
        <v>100</v>
      </c>
      <c r="J97" s="5">
        <v>0</v>
      </c>
      <c r="K97" s="4">
        <f>H97*J97</f>
        <v>0</v>
      </c>
    </row>
    <row r="98" spans="1:13">
      <c r="B98" s="5" t="s">
        <v>185</v>
      </c>
      <c r="C98" s="5" t="s">
        <v>132</v>
      </c>
      <c r="D98" s="6" t="s">
        <v>133</v>
      </c>
      <c r="G98" s="5" t="s">
        <v>22</v>
      </c>
      <c r="H98" s="4">
        <v>9.9499999999999993</v>
      </c>
      <c r="I98" s="5">
        <v>100</v>
      </c>
      <c r="J98" s="5">
        <v>0</v>
      </c>
      <c r="K98" s="4">
        <f>H98*J98</f>
        <v>0</v>
      </c>
    </row>
    <row r="99" spans="1:13" ht="17.25" customHeight="1">
      <c r="B99" s="5" t="s">
        <v>184</v>
      </c>
      <c r="C99" s="5" t="s">
        <v>134</v>
      </c>
      <c r="D99" s="6" t="s">
        <v>135</v>
      </c>
      <c r="G99" s="5" t="s">
        <v>22</v>
      </c>
      <c r="H99" s="4">
        <v>9.9499999999999993</v>
      </c>
      <c r="I99" s="5">
        <v>100</v>
      </c>
      <c r="J99" s="5">
        <v>0</v>
      </c>
      <c r="K99" s="4">
        <f>H99*J99</f>
        <v>0</v>
      </c>
    </row>
    <row r="100" spans="1:13">
      <c r="B100" s="5" t="s">
        <v>190</v>
      </c>
      <c r="C100" s="5" t="s">
        <v>144</v>
      </c>
      <c r="D100" s="6" t="s">
        <v>148</v>
      </c>
      <c r="G100" s="5" t="s">
        <v>22</v>
      </c>
      <c r="H100" s="4">
        <v>8.9499999999999993</v>
      </c>
      <c r="I100" s="5">
        <v>50</v>
      </c>
      <c r="J100" s="5">
        <v>0</v>
      </c>
      <c r="K100" s="4">
        <f>H100*J100</f>
        <v>0</v>
      </c>
    </row>
    <row r="103" spans="1:13">
      <c r="A103" s="5" t="s">
        <v>237</v>
      </c>
    </row>
    <row r="104" spans="1:13" s="21" customFormat="1">
      <c r="B104" s="24" t="s">
        <v>348</v>
      </c>
      <c r="C104" s="21" t="s">
        <v>91</v>
      </c>
      <c r="D104" s="22" t="s">
        <v>92</v>
      </c>
      <c r="E104" s="21" t="s">
        <v>242</v>
      </c>
      <c r="G104" s="21" t="s">
        <v>22</v>
      </c>
      <c r="H104" s="23">
        <v>49.95</v>
      </c>
      <c r="I104" s="21">
        <v>1</v>
      </c>
      <c r="J104" s="21">
        <v>1</v>
      </c>
      <c r="K104" s="23">
        <f>H104*J104</f>
        <v>49.95</v>
      </c>
    </row>
    <row r="105" spans="1:13">
      <c r="B105" s="5" t="s">
        <v>159</v>
      </c>
      <c r="C105" s="5" t="s">
        <v>85</v>
      </c>
      <c r="D105" s="6" t="s">
        <v>86</v>
      </c>
      <c r="G105" s="5" t="s">
        <v>22</v>
      </c>
      <c r="H105" s="4">
        <v>5.95</v>
      </c>
      <c r="I105" s="5">
        <v>1</v>
      </c>
      <c r="J105" s="5">
        <v>0</v>
      </c>
      <c r="K105" s="4">
        <f>H105*J105</f>
        <v>0</v>
      </c>
      <c r="L105" s="11"/>
    </row>
    <row r="106" spans="1:13">
      <c r="B106" s="5" t="s">
        <v>163</v>
      </c>
      <c r="C106" s="5" t="s">
        <v>161</v>
      </c>
      <c r="D106" s="6" t="s">
        <v>162</v>
      </c>
      <c r="G106" s="5" t="s">
        <v>22</v>
      </c>
      <c r="H106" s="4">
        <v>24.95</v>
      </c>
      <c r="I106" s="5">
        <v>1</v>
      </c>
      <c r="J106" s="5">
        <v>0</v>
      </c>
      <c r="K106" s="4">
        <f>H106*J106</f>
        <v>0</v>
      </c>
    </row>
    <row r="107" spans="1:13" s="13" customFormat="1">
      <c r="B107" s="13" t="s">
        <v>349</v>
      </c>
      <c r="C107" s="13" t="s">
        <v>350</v>
      </c>
      <c r="D107" s="27" t="s">
        <v>351</v>
      </c>
      <c r="G107" s="13" t="s">
        <v>22</v>
      </c>
      <c r="H107" s="17">
        <v>6.95</v>
      </c>
      <c r="I107" s="13">
        <v>1</v>
      </c>
      <c r="J107" s="13">
        <v>0</v>
      </c>
      <c r="K107" s="17">
        <f t="shared" ref="K107:K108" si="8">H107*J107</f>
        <v>0</v>
      </c>
      <c r="M107" s="12" t="s">
        <v>368</v>
      </c>
    </row>
    <row r="108" spans="1:13" s="13" customFormat="1">
      <c r="B108" s="13" t="s">
        <v>352</v>
      </c>
      <c r="C108" s="13" t="s">
        <v>350</v>
      </c>
      <c r="D108" s="27" t="s">
        <v>353</v>
      </c>
      <c r="G108" s="13" t="s">
        <v>22</v>
      </c>
      <c r="H108" s="17">
        <v>2.95</v>
      </c>
      <c r="I108" s="13">
        <v>1</v>
      </c>
      <c r="J108" s="13">
        <v>0</v>
      </c>
      <c r="K108" s="17">
        <f t="shared" si="8"/>
        <v>0</v>
      </c>
    </row>
    <row r="109" spans="1:13">
      <c r="D109" s="3"/>
    </row>
    <row r="110" spans="1:13">
      <c r="A110" t="s">
        <v>312</v>
      </c>
      <c r="D110" s="3"/>
    </row>
    <row r="111" spans="1:13" s="13" customFormat="1" ht="13.5" customHeight="1">
      <c r="A111" s="12"/>
      <c r="B111" s="13" t="s">
        <v>355</v>
      </c>
      <c r="C111" s="13" t="s">
        <v>259</v>
      </c>
      <c r="D111" s="27"/>
      <c r="G111" s="12" t="s">
        <v>334</v>
      </c>
      <c r="H111" s="17">
        <v>36.950000000000003</v>
      </c>
      <c r="I111" s="13">
        <v>1</v>
      </c>
      <c r="J111" s="13">
        <v>0</v>
      </c>
      <c r="K111" s="17">
        <f t="shared" ref="K111:K112" si="9">H111*J111</f>
        <v>0</v>
      </c>
      <c r="M111" s="12" t="s">
        <v>358</v>
      </c>
    </row>
    <row r="112" spans="1:13" s="13" customFormat="1">
      <c r="A112" s="12"/>
      <c r="B112" s="13" t="s">
        <v>356</v>
      </c>
      <c r="C112" s="13" t="s">
        <v>357</v>
      </c>
      <c r="D112" s="27"/>
      <c r="G112" s="12" t="s">
        <v>334</v>
      </c>
      <c r="H112" s="17">
        <v>32.96</v>
      </c>
      <c r="I112" s="13">
        <v>1</v>
      </c>
      <c r="J112" s="12">
        <v>0</v>
      </c>
      <c r="K112" s="17">
        <f t="shared" si="9"/>
        <v>0</v>
      </c>
      <c r="M112" s="12" t="s">
        <v>367</v>
      </c>
    </row>
    <row r="113" spans="1:11">
      <c r="A113"/>
      <c r="D113" s="3"/>
    </row>
    <row r="114" spans="1:11">
      <c r="A114"/>
      <c r="D114" s="3"/>
    </row>
    <row r="115" spans="1:11">
      <c r="A115" s="5" t="s">
        <v>238</v>
      </c>
    </row>
    <row r="116" spans="1:11">
      <c r="B116" s="5" t="s">
        <v>51</v>
      </c>
      <c r="D116" s="6" t="s">
        <v>52</v>
      </c>
      <c r="G116" s="5" t="s">
        <v>22</v>
      </c>
      <c r="H116" s="4">
        <v>16.95</v>
      </c>
      <c r="J116" s="5">
        <v>0</v>
      </c>
      <c r="K116" s="4">
        <f t="shared" si="7"/>
        <v>0</v>
      </c>
    </row>
    <row r="117" spans="1:11" s="21" customFormat="1">
      <c r="B117" s="21" t="s">
        <v>254</v>
      </c>
      <c r="D117" s="25" t="s">
        <v>48</v>
      </c>
      <c r="E117" s="24" t="s">
        <v>255</v>
      </c>
      <c r="G117" s="21" t="s">
        <v>22</v>
      </c>
      <c r="H117" s="23">
        <v>0.95</v>
      </c>
      <c r="I117" s="24" t="s">
        <v>50</v>
      </c>
      <c r="J117" s="21">
        <v>2</v>
      </c>
      <c r="K117" s="23">
        <f t="shared" si="7"/>
        <v>1.9</v>
      </c>
    </row>
    <row r="119" spans="1:11">
      <c r="A119" s="5" t="s">
        <v>239</v>
      </c>
    </row>
    <row r="120" spans="1:11" s="18" customFormat="1">
      <c r="B120" s="18" t="s">
        <v>62</v>
      </c>
      <c r="D120" s="19" t="s">
        <v>63</v>
      </c>
      <c r="E120" s="18">
        <v>346</v>
      </c>
      <c r="G120" s="18" t="s">
        <v>64</v>
      </c>
      <c r="H120" s="20">
        <v>27.17</v>
      </c>
      <c r="I120" s="18" t="s">
        <v>65</v>
      </c>
      <c r="J120" s="18">
        <v>0</v>
      </c>
      <c r="K120" s="20">
        <f>H120*J120</f>
        <v>0</v>
      </c>
    </row>
    <row r="121" spans="1:11">
      <c r="B121" s="5" t="s">
        <v>66</v>
      </c>
      <c r="D121" s="6" t="s">
        <v>67</v>
      </c>
      <c r="E121" s="5">
        <v>693</v>
      </c>
      <c r="G121" s="5" t="s">
        <v>64</v>
      </c>
      <c r="H121" s="4">
        <v>12.77</v>
      </c>
      <c r="I121" s="5" t="s">
        <v>68</v>
      </c>
      <c r="J121" s="5">
        <v>0</v>
      </c>
      <c r="K121" s="4">
        <f>H121*J121</f>
        <v>0</v>
      </c>
    </row>
    <row r="122" spans="1:11" s="18" customFormat="1">
      <c r="B122" s="18" t="s">
        <v>69</v>
      </c>
      <c r="D122" s="26" t="s">
        <v>247</v>
      </c>
      <c r="E122" s="18" t="s">
        <v>71</v>
      </c>
      <c r="G122" s="18" t="s">
        <v>72</v>
      </c>
      <c r="H122" s="20">
        <v>1.52</v>
      </c>
      <c r="I122" s="18">
        <v>1</v>
      </c>
      <c r="J122" s="18">
        <v>12</v>
      </c>
      <c r="K122" s="20">
        <f>H122*J122</f>
        <v>18.240000000000002</v>
      </c>
    </row>
    <row r="125" spans="1:11">
      <c r="B125" s="5" t="s">
        <v>188</v>
      </c>
      <c r="C125" s="7" t="s">
        <v>140</v>
      </c>
      <c r="D125" s="6" t="s">
        <v>141</v>
      </c>
      <c r="G125" s="5" t="s">
        <v>22</v>
      </c>
      <c r="H125" s="4">
        <v>3.95</v>
      </c>
      <c r="I125" s="5">
        <v>12</v>
      </c>
      <c r="J125" s="5">
        <v>0</v>
      </c>
      <c r="K125" s="4">
        <f>H125*J125</f>
        <v>0</v>
      </c>
    </row>
    <row r="126" spans="1:11">
      <c r="B126" s="5" t="s">
        <v>189</v>
      </c>
      <c r="C126" s="5" t="s">
        <v>142</v>
      </c>
      <c r="D126" s="6" t="s">
        <v>143</v>
      </c>
      <c r="G126" s="5" t="s">
        <v>22</v>
      </c>
      <c r="H126" s="4">
        <v>4.95</v>
      </c>
      <c r="I126" s="5">
        <v>12</v>
      </c>
      <c r="J126" s="5">
        <v>0</v>
      </c>
      <c r="K126" s="4">
        <f>H126*J126</f>
        <v>0</v>
      </c>
    </row>
    <row r="127" spans="1:11">
      <c r="B127" s="5" t="s">
        <v>182</v>
      </c>
      <c r="C127" s="5" t="s">
        <v>126</v>
      </c>
      <c r="D127" s="6" t="s">
        <v>127</v>
      </c>
      <c r="G127" s="5" t="s">
        <v>22</v>
      </c>
      <c r="H127" s="4">
        <v>13.95</v>
      </c>
      <c r="I127" s="5">
        <v>12</v>
      </c>
      <c r="J127" s="5">
        <v>0</v>
      </c>
      <c r="K127" s="4">
        <f>H127*J127</f>
        <v>0</v>
      </c>
    </row>
    <row r="128" spans="1:11">
      <c r="B128" s="5" t="s">
        <v>191</v>
      </c>
      <c r="C128" s="5" t="s">
        <v>145</v>
      </c>
      <c r="D128" s="6" t="s">
        <v>149</v>
      </c>
      <c r="G128" s="5" t="s">
        <v>22</v>
      </c>
      <c r="H128" s="4">
        <v>12</v>
      </c>
      <c r="I128" s="5">
        <v>12</v>
      </c>
      <c r="J128" s="5">
        <v>0</v>
      </c>
      <c r="K128" s="4">
        <f t="shared" ref="K128:K130" si="10">H128*J128</f>
        <v>0</v>
      </c>
    </row>
    <row r="129" spans="2:11">
      <c r="K129" s="4">
        <f t="shared" si="10"/>
        <v>0</v>
      </c>
    </row>
    <row r="130" spans="2:11" s="21" customFormat="1">
      <c r="B130" s="21" t="s">
        <v>339</v>
      </c>
      <c r="C130" s="21" t="s">
        <v>340</v>
      </c>
      <c r="D130" s="25" t="s">
        <v>341</v>
      </c>
      <c r="G130" s="21" t="s">
        <v>342</v>
      </c>
      <c r="H130" s="23">
        <v>6.96</v>
      </c>
      <c r="I130" s="21">
        <v>1</v>
      </c>
      <c r="J130" s="21">
        <v>1</v>
      </c>
      <c r="K130" s="23">
        <f t="shared" si="10"/>
        <v>6.96</v>
      </c>
    </row>
    <row r="131" spans="2:11">
      <c r="D131" s="3" t="s">
        <v>354</v>
      </c>
    </row>
    <row r="139" spans="2:11">
      <c r="K139" s="4">
        <f>SUM(K2:K138)</f>
        <v>389.94999999999993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order (4)</vt:lpstr>
      <vt:lpstr>order (3)</vt:lpstr>
      <vt:lpstr>order</vt:lpstr>
      <vt:lpstr>order (2)</vt:lpstr>
      <vt:lpstr>Sheet1</vt:lpstr>
      <vt:lpstr>20151101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2015-11-05T13:34:03Z</dcterms:modified>
  <dc:language>en-US</dc:language>
</cp:coreProperties>
</file>