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Proposed Phi Budget (2)" sheetId="3" r:id="rId1"/>
    <sheet name="Phi Buy List" sheetId="2" r:id="rId2"/>
  </sheets>
  <calcPr calcId="125725"/>
</workbook>
</file>

<file path=xl/calcChain.xml><?xml version="1.0" encoding="utf-8"?>
<calcChain xmlns="http://schemas.openxmlformats.org/spreadsheetml/2006/main">
  <c r="B27" i="3"/>
  <c r="H10"/>
  <c r="H2"/>
  <c r="I2" s="1"/>
  <c r="B7"/>
  <c r="B22" s="1"/>
  <c r="I5"/>
  <c r="I3"/>
  <c r="I4"/>
  <c r="E22"/>
  <c r="B4"/>
  <c r="G14" i="2" l="1"/>
  <c r="B8"/>
  <c r="G6"/>
  <c r="G7"/>
  <c r="B13"/>
  <c r="B12"/>
  <c r="B11"/>
  <c r="B10"/>
  <c r="G9"/>
  <c r="G10"/>
  <c r="G11"/>
  <c r="F16"/>
  <c r="G16" s="1"/>
  <c r="G15"/>
  <c r="E10" i="3"/>
  <c r="G5" i="2"/>
  <c r="G8"/>
  <c r="G12"/>
  <c r="G13"/>
  <c r="B19" i="3"/>
  <c r="B18"/>
  <c r="B17"/>
  <c r="B16"/>
  <c r="B15"/>
  <c r="B6"/>
  <c r="B2"/>
  <c r="E6"/>
  <c r="E5"/>
  <c r="B5"/>
  <c r="E2"/>
  <c r="G18" i="2" l="1"/>
  <c r="G4"/>
  <c r="G17"/>
  <c r="G19"/>
  <c r="G20"/>
  <c r="G21"/>
  <c r="G3"/>
  <c r="G23" l="1"/>
  <c r="G25" s="1"/>
  <c r="G27" s="1"/>
  <c r="B23" i="3" s="1"/>
</calcChain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450 for full kit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Android kits for 4322</t>
        </r>
      </text>
    </comment>
    <comment ref="E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of 2 excessed laptops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50 per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G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Nasa bought $941 last yr.  And we bought add'l stuff which totaled something like $400.  Assume similar spending  for both teams.</t>
        </r>
      </text>
    </comment>
  </commentList>
</comments>
</file>

<file path=xl/sharedStrings.xml><?xml version="1.0" encoding="utf-8"?>
<sst xmlns="http://schemas.openxmlformats.org/spreadsheetml/2006/main" count="75" uniqueCount="73">
  <si>
    <t>Registration</t>
  </si>
  <si>
    <t xml:space="preserve">LA Qual #1 </t>
  </si>
  <si>
    <t>LA Qual #2</t>
  </si>
  <si>
    <t>Super-Regional</t>
  </si>
  <si>
    <t>Grant</t>
  </si>
  <si>
    <t>Sweet Frog</t>
  </si>
  <si>
    <t>Total</t>
  </si>
  <si>
    <t>Northrup</t>
  </si>
  <si>
    <t>Android kits</t>
  </si>
  <si>
    <t>Lockheed</t>
  </si>
  <si>
    <t>NASA</t>
  </si>
  <si>
    <t>Field Kit - 1/2</t>
  </si>
  <si>
    <t>Jacob Tech</t>
  </si>
  <si>
    <t>Phi  - Income</t>
  </si>
  <si>
    <t>Items</t>
  </si>
  <si>
    <t>Website</t>
  </si>
  <si>
    <t>Part Numbers</t>
  </si>
  <si>
    <t>count</t>
  </si>
  <si>
    <t>type</t>
  </si>
  <si>
    <t>Cost Per</t>
  </si>
  <si>
    <t>total Cost</t>
  </si>
  <si>
    <t>Additional Android ZTE Speed</t>
  </si>
  <si>
    <t>New Laptop for Android SDK</t>
  </si>
  <si>
    <t>Tools/Parts/Buy List</t>
  </si>
  <si>
    <t>Las Vegas Regional</t>
  </si>
  <si>
    <t>LA Regional</t>
  </si>
  <si>
    <t>Margin</t>
  </si>
  <si>
    <t>Sub-Total</t>
  </si>
  <si>
    <t>Rostock MAX V2 3D printer</t>
  </si>
  <si>
    <t>http://seemecnc.com/products/rostock-max-complete-kit?variant=373404417</t>
  </si>
  <si>
    <t>3D printer</t>
  </si>
  <si>
    <t>0.7mm hot end for 3D printer</t>
  </si>
  <si>
    <t>http://seemecnc.com/collections/parts-accesories/hotends-and-extruders</t>
  </si>
  <si>
    <t>Hot End</t>
  </si>
  <si>
    <t>Black ABS filament (for 3D printer)</t>
  </si>
  <si>
    <t>http://seemecnc.com/products/1-75-mm-black-abs-filament-2-spool</t>
  </si>
  <si>
    <t>Filament</t>
  </si>
  <si>
    <t>SOLIDWORKS Student Edition</t>
  </si>
  <si>
    <t>https://store.solidworks.com/studentstore/default.php</t>
  </si>
  <si>
    <t>N/A</t>
  </si>
  <si>
    <t>Software</t>
  </si>
  <si>
    <t>4322  &amp; 452 Budget</t>
  </si>
  <si>
    <t>Spirent Comm</t>
  </si>
  <si>
    <t>Uniforms</t>
  </si>
  <si>
    <t>Dues</t>
  </si>
  <si>
    <t>Misc Parts/Tools</t>
  </si>
  <si>
    <t>Core Device Interface Modulul</t>
  </si>
  <si>
    <t>http://www.modernroboticsinc.com/core-control-modules</t>
  </si>
  <si>
    <t>Core Legacy Modules</t>
  </si>
  <si>
    <t>Core power distribution modules</t>
  </si>
  <si>
    <t>Core Motor Controller</t>
  </si>
  <si>
    <t>Core Servo Controller</t>
  </si>
  <si>
    <t>IR Seeker V3</t>
  </si>
  <si>
    <t>Optical distance sensor</t>
  </si>
  <si>
    <t>Touch Sensor</t>
  </si>
  <si>
    <t>http://www.modernroboticsinc.com/sensors</t>
  </si>
  <si>
    <t>Shortfall</t>
  </si>
  <si>
    <t>Phone Mount Kits</t>
  </si>
  <si>
    <t>http://modernroboticsinc.com/phone-mount-kit</t>
  </si>
  <si>
    <t>Large Screen (20") Monitor</t>
  </si>
  <si>
    <t>3D Printer</t>
  </si>
  <si>
    <t>Jr FLL Registration</t>
  </si>
  <si>
    <t>FLL Registration</t>
  </si>
  <si>
    <t>Lazer Head</t>
  </si>
  <si>
    <t>Office</t>
  </si>
  <si>
    <t>Anti Virus</t>
  </si>
  <si>
    <t>Corporations</t>
  </si>
  <si>
    <t>Government</t>
  </si>
  <si>
    <t>Individuals</t>
  </si>
  <si>
    <t>Yard sale</t>
  </si>
  <si>
    <t>Fund Raisers</t>
  </si>
  <si>
    <t>exPenses 2014</t>
  </si>
  <si>
    <t>Last year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</si>
</sst>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sz val="12.1"/>
      <color rgb="FF000000"/>
      <name val="Calibri"/>
      <family val="2"/>
      <scheme val="minor"/>
    </font>
    <font>
      <sz val="9.9"/>
      <color rgb="FF111111"/>
      <name val="Calibri"/>
      <family val="2"/>
      <scheme val="minor"/>
    </font>
    <font>
      <sz val="11"/>
      <name val="Calibri"/>
      <family val="2"/>
      <scheme val="minor"/>
    </font>
    <font>
      <sz val="12.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8" fillId="0" borderId="0" xfId="1" applyFont="1" applyAlignment="1">
      <alignment horizontal="center"/>
    </xf>
    <xf numFmtId="0" fontId="7" fillId="0" borderId="0" xfId="1" applyAlignment="1">
      <alignment horizontal="center"/>
    </xf>
    <xf numFmtId="0" fontId="4" fillId="0" borderId="0" xfId="0" applyFont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7" fillId="2" borderId="1" xfId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7" fillId="0" borderId="1" xfId="1" applyBorder="1" applyAlignment="1">
      <alignment horizontal="left"/>
    </xf>
    <xf numFmtId="0" fontId="9" fillId="0" borderId="0" xfId="0" applyFont="1" applyBorder="1" applyAlignment="1">
      <alignment horizontal="left"/>
    </xf>
    <xf numFmtId="0" fontId="7" fillId="0" borderId="0" xfId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11" fillId="0" borderId="0" xfId="0" applyFont="1"/>
    <xf numFmtId="0" fontId="12" fillId="0" borderId="1" xfId="0" applyFont="1" applyBorder="1" applyAlignment="1">
      <alignment horizontal="left"/>
    </xf>
    <xf numFmtId="2" fontId="12" fillId="0" borderId="1" xfId="0" applyNumberFormat="1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2" fontId="12" fillId="0" borderId="0" xfId="0" applyNumberFormat="1" applyFont="1" applyBorder="1" applyAlignment="1">
      <alignment horizontal="right"/>
    </xf>
    <xf numFmtId="0" fontId="7" fillId="0" borderId="0" xfId="1"/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://seemecnc.com/products/1-75-mm-black-abs-filament-2-spool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://seemecnc.com/collections/parts-accesories/hotends-and-extruders" TargetMode="External"/><Relationship Id="rId1" Type="http://schemas.openxmlformats.org/officeDocument/2006/relationships/hyperlink" Target="http://seemecnc.com/products/rostock-max-complete-kit?variant=373404417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://www.modernroboticsinc.com/core-control-modules" TargetMode="External"/><Relationship Id="rId4" Type="http://schemas.openxmlformats.org/officeDocument/2006/relationships/hyperlink" Target="https://store.solidworks.com/studentstore/defaul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zoomScaleNormal="100" workbookViewId="0">
      <selection activeCell="B28" sqref="B28"/>
    </sheetView>
  </sheetViews>
  <sheetFormatPr defaultRowHeight="15"/>
  <cols>
    <col min="1" max="1" width="23.140625" customWidth="1"/>
    <col min="2" max="2" width="13.5703125" customWidth="1"/>
    <col min="4" max="4" width="12.7109375" customWidth="1"/>
    <col min="7" max="7" width="16" customWidth="1"/>
    <col min="8" max="8" width="9.85546875" customWidth="1"/>
    <col min="9" max="9" width="9.140625" style="27"/>
  </cols>
  <sheetData>
    <row r="1" spans="1:9">
      <c r="A1" s="24" t="s">
        <v>41</v>
      </c>
      <c r="B1" s="24"/>
      <c r="D1" s="24" t="s">
        <v>13</v>
      </c>
      <c r="E1" s="24"/>
      <c r="G1" s="25"/>
      <c r="H1" s="25"/>
      <c r="I1" s="26"/>
    </row>
    <row r="2" spans="1:9">
      <c r="A2" s="1" t="s">
        <v>0</v>
      </c>
      <c r="B2">
        <f>275*2</f>
        <v>550</v>
      </c>
      <c r="D2" s="1" t="s">
        <v>4</v>
      </c>
      <c r="E2">
        <f>275*2</f>
        <v>550</v>
      </c>
      <c r="G2" s="1" t="s">
        <v>66</v>
      </c>
      <c r="H2">
        <f>E4+E5+E9+E10</f>
        <v>7200</v>
      </c>
      <c r="I2" s="27">
        <f>H2/$E$22</f>
        <v>0.78184384840916499</v>
      </c>
    </row>
    <row r="3" spans="1:9">
      <c r="A3" s="1" t="s">
        <v>61</v>
      </c>
      <c r="B3">
        <v>100</v>
      </c>
      <c r="D3" s="1" t="s">
        <v>5</v>
      </c>
      <c r="E3">
        <v>100</v>
      </c>
      <c r="G3" s="1" t="s">
        <v>67</v>
      </c>
      <c r="H3">
        <v>0</v>
      </c>
      <c r="I3" s="27">
        <f t="shared" ref="I3:I5" si="0">H3/$E$22</f>
        <v>0</v>
      </c>
    </row>
    <row r="4" spans="1:9">
      <c r="A4" s="1" t="s">
        <v>62</v>
      </c>
      <c r="B4">
        <f>3*400</f>
        <v>1200</v>
      </c>
      <c r="D4" s="1" t="s">
        <v>7</v>
      </c>
      <c r="E4" s="17">
        <v>5500</v>
      </c>
      <c r="G4" s="1" t="s">
        <v>68</v>
      </c>
      <c r="H4">
        <v>800</v>
      </c>
      <c r="I4" s="27">
        <f t="shared" si="0"/>
        <v>8.6871538712129437E-2</v>
      </c>
    </row>
    <row r="5" spans="1:9">
      <c r="A5" s="1" t="s">
        <v>8</v>
      </c>
      <c r="B5">
        <f>268+391</f>
        <v>659</v>
      </c>
      <c r="D5" s="1" t="s">
        <v>9</v>
      </c>
      <c r="E5" s="2">
        <f>500</f>
        <v>500</v>
      </c>
      <c r="G5" s="1" t="s">
        <v>70</v>
      </c>
      <c r="H5">
        <v>400</v>
      </c>
      <c r="I5" s="27">
        <f t="shared" si="0"/>
        <v>4.3435769356064718E-2</v>
      </c>
    </row>
    <row r="6" spans="1:9">
      <c r="A6" s="1" t="s">
        <v>11</v>
      </c>
      <c r="B6">
        <f>300*2</f>
        <v>600</v>
      </c>
      <c r="D6" s="1" t="s">
        <v>10</v>
      </c>
      <c r="E6">
        <f>B5</f>
        <v>659</v>
      </c>
    </row>
    <row r="7" spans="1:9">
      <c r="A7" s="1" t="s">
        <v>23</v>
      </c>
      <c r="B7" s="2">
        <f>'Phi Buy List'!G27</f>
        <v>7387.9</v>
      </c>
      <c r="D7" s="1" t="s">
        <v>12</v>
      </c>
      <c r="E7">
        <v>500</v>
      </c>
    </row>
    <row r="8" spans="1:9">
      <c r="A8" s="1" t="s">
        <v>60</v>
      </c>
      <c r="B8" s="2">
        <v>1100</v>
      </c>
      <c r="D8" s="1" t="s">
        <v>42</v>
      </c>
      <c r="E8">
        <v>200</v>
      </c>
    </row>
    <row r="9" spans="1:9">
      <c r="A9" s="1" t="s">
        <v>63</v>
      </c>
      <c r="B9" s="2">
        <v>350</v>
      </c>
      <c r="D9" s="1" t="s">
        <v>69</v>
      </c>
      <c r="E9">
        <v>400</v>
      </c>
    </row>
    <row r="10" spans="1:9">
      <c r="A10" s="23" t="s">
        <v>40</v>
      </c>
      <c r="B10" s="2"/>
      <c r="D10" s="1" t="s">
        <v>44</v>
      </c>
      <c r="E10">
        <f>16*50</f>
        <v>800</v>
      </c>
      <c r="G10" t="s">
        <v>72</v>
      </c>
      <c r="H10">
        <f>E5+E4+E9+E10</f>
        <v>7200</v>
      </c>
    </row>
    <row r="11" spans="1:9">
      <c r="A11" s="1" t="s">
        <v>65</v>
      </c>
      <c r="B11" s="2">
        <v>100</v>
      </c>
      <c r="D11" s="1"/>
      <c r="E11" s="2"/>
    </row>
    <row r="12" spans="1:9">
      <c r="A12" s="1" t="s">
        <v>64</v>
      </c>
      <c r="B12" s="2">
        <v>100</v>
      </c>
      <c r="D12" s="1"/>
      <c r="E12" s="2"/>
    </row>
    <row r="13" spans="1:9">
      <c r="A13" s="1"/>
      <c r="B13" s="2"/>
      <c r="D13" s="1"/>
      <c r="E13" s="2"/>
    </row>
    <row r="14" spans="1:9">
      <c r="A14" s="1"/>
      <c r="B14" s="2"/>
      <c r="D14" s="1"/>
      <c r="E14" s="2"/>
    </row>
    <row r="15" spans="1:9">
      <c r="A15" s="1" t="s">
        <v>1</v>
      </c>
      <c r="B15">
        <f>2*100</f>
        <v>200</v>
      </c>
    </row>
    <row r="16" spans="1:9">
      <c r="A16" s="1" t="s">
        <v>2</v>
      </c>
      <c r="B16">
        <f>2*100</f>
        <v>200</v>
      </c>
    </row>
    <row r="17" spans="1:5">
      <c r="A17" s="1" t="s">
        <v>24</v>
      </c>
      <c r="B17" s="2">
        <f>2*150</f>
        <v>300</v>
      </c>
    </row>
    <row r="18" spans="1:5">
      <c r="A18" s="1" t="s">
        <v>25</v>
      </c>
      <c r="B18">
        <f>2*100</f>
        <v>200</v>
      </c>
    </row>
    <row r="19" spans="1:5">
      <c r="A19" s="1" t="s">
        <v>3</v>
      </c>
      <c r="B19">
        <f>2*500</f>
        <v>1000</v>
      </c>
    </row>
    <row r="20" spans="1:5">
      <c r="A20" s="1"/>
    </row>
    <row r="22" spans="1:5">
      <c r="A22" s="1" t="s">
        <v>6</v>
      </c>
      <c r="B22">
        <f>SUM(B2:B21)</f>
        <v>14046.9</v>
      </c>
      <c r="E22">
        <f>SUM(E2:E21)</f>
        <v>9209</v>
      </c>
    </row>
    <row r="23" spans="1:5">
      <c r="A23" s="1" t="s">
        <v>56</v>
      </c>
      <c r="B23">
        <f>B22-E22</f>
        <v>4837.8999999999996</v>
      </c>
    </row>
    <row r="27" spans="1:5">
      <c r="A27" t="s">
        <v>71</v>
      </c>
      <c r="B27">
        <f>SUM(B2:B4)-400+B6+6000+SUM(B15:B19)</f>
        <v>9950</v>
      </c>
    </row>
  </sheetData>
  <mergeCells count="3">
    <mergeCell ref="A1:B1"/>
    <mergeCell ref="D1:E1"/>
    <mergeCell ref="G1:H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activeCell="F6" sqref="F6"/>
    </sheetView>
  </sheetViews>
  <sheetFormatPr defaultRowHeight="15"/>
  <cols>
    <col min="1" max="1" width="38.7109375" customWidth="1"/>
    <col min="2" max="2" width="41.140625" customWidth="1"/>
    <col min="3" max="3" width="18.42578125" customWidth="1"/>
    <col min="4" max="4" width="12.7109375" customWidth="1"/>
    <col min="5" max="5" width="15.5703125" customWidth="1"/>
    <col min="6" max="6" width="16.140625" customWidth="1"/>
    <col min="7" max="7" width="12" customWidth="1"/>
  </cols>
  <sheetData>
    <row r="1" spans="1:7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</row>
    <row r="3" spans="1:7">
      <c r="A3" s="4" t="s">
        <v>21</v>
      </c>
      <c r="B3" s="5"/>
      <c r="C3" s="6"/>
      <c r="D3" s="17">
        <v>2</v>
      </c>
      <c r="E3" s="17"/>
      <c r="F3" s="17">
        <v>40</v>
      </c>
      <c r="G3" s="17">
        <f>F3*D3</f>
        <v>80</v>
      </c>
    </row>
    <row r="4" spans="1:7">
      <c r="A4" s="1" t="s">
        <v>22</v>
      </c>
      <c r="C4" s="7"/>
      <c r="D4" s="17">
        <v>2</v>
      </c>
      <c r="E4" s="17"/>
      <c r="F4" s="17">
        <v>500</v>
      </c>
      <c r="G4" s="17">
        <f t="shared" ref="G4:G21" si="0">F4*D4</f>
        <v>1000</v>
      </c>
    </row>
    <row r="5" spans="1:7">
      <c r="A5" s="1" t="s">
        <v>59</v>
      </c>
      <c r="C5" s="7"/>
      <c r="D5" s="17">
        <v>2</v>
      </c>
      <c r="E5" s="17"/>
      <c r="F5" s="17">
        <v>140</v>
      </c>
      <c r="G5" s="17">
        <f t="shared" si="0"/>
        <v>280</v>
      </c>
    </row>
    <row r="6" spans="1:7">
      <c r="A6" s="1" t="s">
        <v>52</v>
      </c>
      <c r="C6" s="7"/>
      <c r="D6" s="17">
        <v>4</v>
      </c>
      <c r="E6" s="17"/>
      <c r="F6" s="17">
        <v>35</v>
      </c>
      <c r="G6" s="17">
        <f t="shared" si="0"/>
        <v>140</v>
      </c>
    </row>
    <row r="7" spans="1:7">
      <c r="A7" s="1" t="s">
        <v>53</v>
      </c>
      <c r="B7" t="s">
        <v>55</v>
      </c>
      <c r="C7" s="7"/>
      <c r="D7" s="17">
        <v>4</v>
      </c>
      <c r="E7" s="17"/>
      <c r="F7" s="17">
        <v>27</v>
      </c>
      <c r="G7" s="17">
        <f t="shared" si="0"/>
        <v>108</v>
      </c>
    </row>
    <row r="8" spans="1:7">
      <c r="A8" s="1" t="s">
        <v>54</v>
      </c>
      <c r="B8" t="str">
        <f>B7</f>
        <v>http://www.modernroboticsinc.com/sensors</v>
      </c>
      <c r="C8" s="7"/>
      <c r="D8" s="17">
        <v>4</v>
      </c>
      <c r="E8" s="17"/>
      <c r="F8" s="17">
        <v>16</v>
      </c>
      <c r="G8" s="17">
        <f t="shared" si="0"/>
        <v>64</v>
      </c>
    </row>
    <row r="9" spans="1:7">
      <c r="A9" s="1" t="s">
        <v>50</v>
      </c>
      <c r="B9" s="22" t="s">
        <v>47</v>
      </c>
      <c r="C9" s="7"/>
      <c r="D9" s="17">
        <v>2</v>
      </c>
      <c r="E9" s="17"/>
      <c r="F9" s="17">
        <v>80</v>
      </c>
      <c r="G9" s="17">
        <f t="shared" si="0"/>
        <v>160</v>
      </c>
    </row>
    <row r="10" spans="1:7">
      <c r="A10" s="1" t="s">
        <v>51</v>
      </c>
      <c r="B10" t="str">
        <f>B9</f>
        <v>http://www.modernroboticsinc.com/core-control-modules</v>
      </c>
      <c r="C10" s="7"/>
      <c r="D10" s="17">
        <v>2</v>
      </c>
      <c r="E10" s="17"/>
      <c r="F10" s="17">
        <v>70</v>
      </c>
      <c r="G10" s="17">
        <f t="shared" si="0"/>
        <v>140</v>
      </c>
    </row>
    <row r="11" spans="1:7">
      <c r="A11" s="1" t="s">
        <v>46</v>
      </c>
      <c r="B11" s="22" t="str">
        <f>B10</f>
        <v>http://www.modernroboticsinc.com/core-control-modules</v>
      </c>
      <c r="C11" s="7"/>
      <c r="D11" s="17">
        <v>2</v>
      </c>
      <c r="E11" s="17"/>
      <c r="F11" s="17">
        <v>68</v>
      </c>
      <c r="G11" s="17">
        <f t="shared" si="0"/>
        <v>136</v>
      </c>
    </row>
    <row r="12" spans="1:7">
      <c r="A12" s="1" t="s">
        <v>48</v>
      </c>
      <c r="B12" t="str">
        <f>B11</f>
        <v>http://www.modernroboticsinc.com/core-control-modules</v>
      </c>
      <c r="C12" s="7"/>
      <c r="D12" s="17">
        <v>2</v>
      </c>
      <c r="E12" s="17"/>
      <c r="F12" s="17">
        <v>65</v>
      </c>
      <c r="G12" s="17">
        <f t="shared" si="0"/>
        <v>130</v>
      </c>
    </row>
    <row r="13" spans="1:7">
      <c r="A13" s="1" t="s">
        <v>49</v>
      </c>
      <c r="B13" t="str">
        <f>B12</f>
        <v>http://www.modernroboticsinc.com/core-control-modules</v>
      </c>
      <c r="C13" s="7"/>
      <c r="D13" s="17">
        <v>2</v>
      </c>
      <c r="E13" s="17"/>
      <c r="F13" s="17">
        <v>90</v>
      </c>
      <c r="G13" s="17">
        <f t="shared" si="0"/>
        <v>180</v>
      </c>
    </row>
    <row r="14" spans="1:7">
      <c r="A14" s="1" t="s">
        <v>57</v>
      </c>
      <c r="B14" t="s">
        <v>58</v>
      </c>
      <c r="C14" s="7"/>
      <c r="D14" s="17">
        <v>4</v>
      </c>
      <c r="E14" s="17"/>
      <c r="F14" s="17">
        <v>7</v>
      </c>
      <c r="G14" s="17">
        <f t="shared" si="0"/>
        <v>28</v>
      </c>
    </row>
    <row r="15" spans="1:7">
      <c r="A15" s="1" t="s">
        <v>43</v>
      </c>
      <c r="C15" s="7"/>
      <c r="D15" s="17">
        <v>16</v>
      </c>
      <c r="E15" s="17"/>
      <c r="F15" s="17">
        <v>15</v>
      </c>
      <c r="G15" s="17">
        <f t="shared" si="0"/>
        <v>240</v>
      </c>
    </row>
    <row r="16" spans="1:7">
      <c r="A16" s="1" t="s">
        <v>45</v>
      </c>
      <c r="C16" s="7"/>
      <c r="D16" s="17">
        <v>1</v>
      </c>
      <c r="E16" s="17"/>
      <c r="F16" s="17">
        <f>1000 + 400*2</f>
        <v>1800</v>
      </c>
      <c r="G16" s="17">
        <f t="shared" si="0"/>
        <v>1800</v>
      </c>
    </row>
    <row r="17" spans="1:7" ht="15.75" thickBot="1">
      <c r="C17" s="7"/>
      <c r="D17" s="17"/>
      <c r="E17" s="17"/>
      <c r="F17" s="17"/>
      <c r="G17" s="17">
        <f t="shared" si="0"/>
        <v>0</v>
      </c>
    </row>
    <row r="18" spans="1:7" ht="16.5" thickBot="1">
      <c r="A18" s="9" t="s">
        <v>28</v>
      </c>
      <c r="B18" s="11" t="s">
        <v>29</v>
      </c>
      <c r="C18" s="12">
        <v>84398</v>
      </c>
      <c r="D18" s="18">
        <v>1</v>
      </c>
      <c r="E18" s="18" t="s">
        <v>30</v>
      </c>
      <c r="F18" s="19">
        <v>999</v>
      </c>
      <c r="G18" s="17">
        <f>F18*D18</f>
        <v>999</v>
      </c>
    </row>
    <row r="19" spans="1:7" ht="16.5" thickBot="1">
      <c r="A19" s="9" t="s">
        <v>31</v>
      </c>
      <c r="B19" s="11" t="s">
        <v>32</v>
      </c>
      <c r="C19" s="12">
        <v>68453</v>
      </c>
      <c r="D19" s="18">
        <v>1</v>
      </c>
      <c r="E19" s="18" t="s">
        <v>33</v>
      </c>
      <c r="F19" s="19">
        <v>9</v>
      </c>
      <c r="G19" s="17">
        <f t="shared" si="0"/>
        <v>9</v>
      </c>
    </row>
    <row r="20" spans="1:7" ht="16.5" thickBot="1">
      <c r="A20" s="9" t="s">
        <v>34</v>
      </c>
      <c r="B20" s="11" t="s">
        <v>35</v>
      </c>
      <c r="C20" s="12">
        <v>50104</v>
      </c>
      <c r="D20" s="18">
        <v>1</v>
      </c>
      <c r="E20" s="18" t="s">
        <v>36</v>
      </c>
      <c r="F20" s="19">
        <v>39</v>
      </c>
      <c r="G20" s="17">
        <f t="shared" si="0"/>
        <v>39</v>
      </c>
    </row>
    <row r="21" spans="1:7" ht="16.5" thickBot="1">
      <c r="A21" s="9" t="s">
        <v>37</v>
      </c>
      <c r="B21" s="13" t="s">
        <v>38</v>
      </c>
      <c r="C21" s="10" t="s">
        <v>39</v>
      </c>
      <c r="D21" s="18">
        <v>1</v>
      </c>
      <c r="E21" s="18" t="s">
        <v>40</v>
      </c>
      <c r="F21" s="19">
        <v>150</v>
      </c>
      <c r="G21" s="17">
        <f t="shared" si="0"/>
        <v>150</v>
      </c>
    </row>
    <row r="22" spans="1:7" ht="15.75">
      <c r="A22" s="14"/>
      <c r="B22" s="15"/>
      <c r="C22" s="14"/>
      <c r="D22" s="20"/>
      <c r="E22" s="20"/>
      <c r="F22" s="21"/>
      <c r="G22" s="17"/>
    </row>
    <row r="23" spans="1:7" ht="15.75">
      <c r="A23" s="16" t="s">
        <v>27</v>
      </c>
      <c r="B23" s="15"/>
      <c r="C23" s="14"/>
      <c r="D23" s="20"/>
      <c r="E23" s="20"/>
      <c r="F23" s="21"/>
      <c r="G23" s="17">
        <f>SUM(G3:G21)</f>
        <v>5683</v>
      </c>
    </row>
    <row r="25" spans="1:7">
      <c r="A25" s="1" t="s">
        <v>26</v>
      </c>
      <c r="G25">
        <f>G23*0.3</f>
        <v>1704.8999999999999</v>
      </c>
    </row>
    <row r="27" spans="1:7">
      <c r="A27" s="8" t="s">
        <v>6</v>
      </c>
      <c r="G27">
        <f>G25+G23</f>
        <v>7387.9</v>
      </c>
    </row>
  </sheetData>
  <hyperlinks>
    <hyperlink ref="B18" r:id="rId1"/>
    <hyperlink ref="B19" r:id="rId2"/>
    <hyperlink ref="B20" r:id="rId3"/>
    <hyperlink ref="B21" r:id="rId4"/>
    <hyperlink ref="B9" r:id="rId5"/>
  </hyperlinks>
  <pageMargins left="0.7" right="0.7" top="0.75" bottom="0.75" header="0.3" footer="0.3"/>
  <pageSetup orientation="portrait"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Proposed Phi Budget (2)</vt:lpstr>
      <vt:lpstr>Phi Buy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2015-08-24T05:32:50Z</dcterms:modified>
</cp:coreProperties>
</file>