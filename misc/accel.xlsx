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6" windowWidth="12420" windowHeight="5856"/>
  </bookViews>
  <sheets>
    <sheet name="Sheet1" sheetId="1" r:id="rId1"/>
    <sheet name="Sheet2" sheetId="2" r:id="rId2"/>
    <sheet name="Sheet3" sheetId="3" r:id="rId3"/>
  </sheets>
  <definedNames>
    <definedName name="accel" localSheetId="0">Sheet1!$A$1:$G$122</definedName>
  </definedNames>
  <calcPr calcId="145621"/>
</workbook>
</file>

<file path=xl/calcChain.xml><?xml version="1.0" encoding="utf-8"?>
<calcChain xmlns="http://schemas.openxmlformats.org/spreadsheetml/2006/main">
  <c r="M13" i="1" l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2" i="1"/>
  <c r="M3" i="1"/>
  <c r="M4" i="1"/>
  <c r="M5" i="1"/>
  <c r="M6" i="1"/>
  <c r="M7" i="1"/>
  <c r="M8" i="1"/>
  <c r="M9" i="1"/>
  <c r="M10" i="1"/>
  <c r="M11" i="1"/>
  <c r="M12" i="1"/>
  <c r="M1" i="1"/>
  <c r="P3" i="1"/>
  <c r="K8" i="1"/>
  <c r="K3" i="1"/>
  <c r="K4" i="1" s="1"/>
  <c r="K5" i="1" s="1"/>
  <c r="K6" i="1" s="1"/>
  <c r="K7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2" i="1"/>
  <c r="I2" i="1"/>
  <c r="I1" i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3" i="1"/>
  <c r="E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2" i="1"/>
  <c r="C1" i="1"/>
  <c r="P1" i="1" l="1"/>
  <c r="P2" i="1" l="1"/>
</calcChain>
</file>

<file path=xl/connections.xml><?xml version="1.0" encoding="utf-8"?>
<connections xmlns="http://schemas.openxmlformats.org/spreadsheetml/2006/main">
  <connection id="1" name="accel" type="6" refreshedVersion="4" background="1" saveData="1">
    <textPr codePage="437" firstRow="2" sourceFile="C:\Users\dylan\Desktop\accel.txt" delimited="0">
      <textFields count="4">
        <textField/>
        <textField position="5"/>
        <textField position="10"/>
        <textField position="17"/>
      </textFields>
    </textPr>
  </connection>
</connections>
</file>

<file path=xl/sharedStrings.xml><?xml version="1.0" encoding="utf-8"?>
<sst xmlns="http://schemas.openxmlformats.org/spreadsheetml/2006/main" count="739" uniqueCount="13">
  <si>
    <t>Time:</t>
  </si>
  <si>
    <t>Accel:</t>
  </si>
  <si>
    <t>speed:</t>
  </si>
  <si>
    <t>avg:spedd</t>
  </si>
  <si>
    <t>avg:accel</t>
  </si>
  <si>
    <t>dist:</t>
  </si>
  <si>
    <t>Dtime:</t>
  </si>
  <si>
    <t>total time:</t>
  </si>
  <si>
    <t>dist:inch</t>
  </si>
  <si>
    <t>accel graph</t>
  </si>
  <si>
    <t>speed graph</t>
  </si>
  <si>
    <t>dist graph</t>
  </si>
  <si>
    <t>point where you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</si>
</sst>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361351706036745E-2"/>
          <c:y val="2.8252405949256341E-2"/>
          <c:w val="0.70053871391076117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Sheet1!$I$2:$I$122</c:f>
              <c:numCache>
                <c:formatCode>General</c:formatCode>
                <c:ptCount val="121"/>
                <c:pt idx="0">
                  <c:v>3.1384499999999968E-2</c:v>
                </c:pt>
                <c:pt idx="1">
                  <c:v>4.5790499999999901E-2</c:v>
                </c:pt>
                <c:pt idx="2">
                  <c:v>5.549249999999991E-2</c:v>
                </c:pt>
                <c:pt idx="3">
                  <c:v>6.4116499999999924E-2</c:v>
                </c:pt>
                <c:pt idx="4">
                  <c:v>6.4116499999999924E-2</c:v>
                </c:pt>
                <c:pt idx="5">
                  <c:v>6.1543999999999932E-2</c:v>
                </c:pt>
                <c:pt idx="6">
                  <c:v>6.056399999999993E-2</c:v>
                </c:pt>
                <c:pt idx="7">
                  <c:v>5.644799999999995E-2</c:v>
                </c:pt>
                <c:pt idx="8">
                  <c:v>4.9759499999999908E-2</c:v>
                </c:pt>
                <c:pt idx="9">
                  <c:v>5.438999999999989E-2</c:v>
                </c:pt>
                <c:pt idx="10">
                  <c:v>8.1144000000000049E-2</c:v>
                </c:pt>
                <c:pt idx="11">
                  <c:v>0.11544400000000007</c:v>
                </c:pt>
                <c:pt idx="12">
                  <c:v>0.14778400000000011</c:v>
                </c:pt>
                <c:pt idx="13">
                  <c:v>0.17326399999999986</c:v>
                </c:pt>
                <c:pt idx="14">
                  <c:v>0.19560799999999989</c:v>
                </c:pt>
                <c:pt idx="15">
                  <c:v>0.20692699999999992</c:v>
                </c:pt>
                <c:pt idx="16">
                  <c:v>0.21986299999999992</c:v>
                </c:pt>
                <c:pt idx="17">
                  <c:v>0.24610250000000009</c:v>
                </c:pt>
                <c:pt idx="18">
                  <c:v>0.28059850000000014</c:v>
                </c:pt>
                <c:pt idx="19">
                  <c:v>0.31132149999999986</c:v>
                </c:pt>
                <c:pt idx="20">
                  <c:v>0.33449849999999987</c:v>
                </c:pt>
                <c:pt idx="21">
                  <c:v>0.35196699999999997</c:v>
                </c:pt>
                <c:pt idx="22">
                  <c:v>0.37281649999999988</c:v>
                </c:pt>
                <c:pt idx="23">
                  <c:v>0.39699800000000002</c:v>
                </c:pt>
                <c:pt idx="24">
                  <c:v>0.42492800000000003</c:v>
                </c:pt>
                <c:pt idx="25">
                  <c:v>0.45040799999999975</c:v>
                </c:pt>
                <c:pt idx="26">
                  <c:v>0.46873399999999976</c:v>
                </c:pt>
                <c:pt idx="27">
                  <c:v>0.48676599999999987</c:v>
                </c:pt>
                <c:pt idx="28">
                  <c:v>0.49117599999999989</c:v>
                </c:pt>
                <c:pt idx="29">
                  <c:v>0.48603099999999994</c:v>
                </c:pt>
                <c:pt idx="30">
                  <c:v>0.49271949999999998</c:v>
                </c:pt>
                <c:pt idx="31">
                  <c:v>0.50619449999999988</c:v>
                </c:pt>
                <c:pt idx="32">
                  <c:v>0.522536</c:v>
                </c:pt>
                <c:pt idx="33">
                  <c:v>0.54752600000000007</c:v>
                </c:pt>
                <c:pt idx="34">
                  <c:v>0.58096849999999989</c:v>
                </c:pt>
                <c:pt idx="35">
                  <c:v>0.61698350000000013</c:v>
                </c:pt>
                <c:pt idx="36">
                  <c:v>0.63344750000000005</c:v>
                </c:pt>
                <c:pt idx="37">
                  <c:v>0.63704900000000009</c:v>
                </c:pt>
                <c:pt idx="38">
                  <c:v>0.64390900000000006</c:v>
                </c:pt>
                <c:pt idx="39">
                  <c:v>0.65223900000000012</c:v>
                </c:pt>
                <c:pt idx="40">
                  <c:v>0.66248000000000018</c:v>
                </c:pt>
                <c:pt idx="41">
                  <c:v>0.68445650000000036</c:v>
                </c:pt>
                <c:pt idx="42">
                  <c:v>0.71032850000000014</c:v>
                </c:pt>
                <c:pt idx="43">
                  <c:v>0.71650250000000015</c:v>
                </c:pt>
                <c:pt idx="44">
                  <c:v>0.72370550000000022</c:v>
                </c:pt>
                <c:pt idx="45">
                  <c:v>0.72730700000000026</c:v>
                </c:pt>
                <c:pt idx="46">
                  <c:v>0.73563700000000032</c:v>
                </c:pt>
                <c:pt idx="47">
                  <c:v>0.74690700000000032</c:v>
                </c:pt>
                <c:pt idx="48">
                  <c:v>0.74984700000000037</c:v>
                </c:pt>
                <c:pt idx="49">
                  <c:v>0.75469800000000031</c:v>
                </c:pt>
                <c:pt idx="50">
                  <c:v>0.75038600000000022</c:v>
                </c:pt>
                <c:pt idx="51">
                  <c:v>0.74421200000000021</c:v>
                </c:pt>
                <c:pt idx="52">
                  <c:v>0.74678450000000018</c:v>
                </c:pt>
                <c:pt idx="53">
                  <c:v>0.75266450000000018</c:v>
                </c:pt>
                <c:pt idx="54">
                  <c:v>0.75751550000000012</c:v>
                </c:pt>
                <c:pt idx="55">
                  <c:v>0.75545750000000012</c:v>
                </c:pt>
                <c:pt idx="56">
                  <c:v>0.75251750000000006</c:v>
                </c:pt>
                <c:pt idx="57">
                  <c:v>0.7441875</c:v>
                </c:pt>
                <c:pt idx="58">
                  <c:v>0.74026749999999997</c:v>
                </c:pt>
                <c:pt idx="59">
                  <c:v>0.74404049999999988</c:v>
                </c:pt>
                <c:pt idx="60">
                  <c:v>0.74673549999999989</c:v>
                </c:pt>
                <c:pt idx="61">
                  <c:v>0.76319949999999992</c:v>
                </c:pt>
                <c:pt idx="62">
                  <c:v>0.78426949999999995</c:v>
                </c:pt>
                <c:pt idx="63">
                  <c:v>0.79406949999999998</c:v>
                </c:pt>
                <c:pt idx="64">
                  <c:v>0.79664200000000007</c:v>
                </c:pt>
                <c:pt idx="65">
                  <c:v>0.78586200000000017</c:v>
                </c:pt>
                <c:pt idx="66">
                  <c:v>0.76785450000000022</c:v>
                </c:pt>
                <c:pt idx="67">
                  <c:v>0.75168450000000009</c:v>
                </c:pt>
                <c:pt idx="68">
                  <c:v>0.70479150000000057</c:v>
                </c:pt>
                <c:pt idx="69">
                  <c:v>0.64408050000000083</c:v>
                </c:pt>
                <c:pt idx="70">
                  <c:v>0.57450050000000075</c:v>
                </c:pt>
                <c:pt idx="71">
                  <c:v>0.48086149999999916</c:v>
                </c:pt>
                <c:pt idx="72">
                  <c:v>0.38438050000000001</c:v>
                </c:pt>
                <c:pt idx="73">
                  <c:v>0.29863049999999997</c:v>
                </c:pt>
                <c:pt idx="74">
                  <c:v>0.19999350000000088</c:v>
                </c:pt>
                <c:pt idx="75">
                  <c:v>0.1008174999999998</c:v>
                </c:pt>
                <c:pt idx="76">
                  <c:v>-1.4945000000002873E-3</c:v>
                </c:pt>
                <c:pt idx="77">
                  <c:v>-5.3434500000000336E-2</c:v>
                </c:pt>
                <c:pt idx="78">
                  <c:v>-7.0143500000000192E-2</c:v>
                </c:pt>
                <c:pt idx="79">
                  <c:v>-7.1834000000000203E-2</c:v>
                </c:pt>
                <c:pt idx="80">
                  <c:v>-6.4116500000000243E-2</c:v>
                </c:pt>
                <c:pt idx="81">
                  <c:v>-4.8681500000000308E-2</c:v>
                </c:pt>
                <c:pt idx="82">
                  <c:v>-3.0894500000000113E-2</c:v>
                </c:pt>
                <c:pt idx="83">
                  <c:v>-1.903650000000022E-2</c:v>
                </c:pt>
                <c:pt idx="84">
                  <c:v>-1.4920500000000239E-2</c:v>
                </c:pt>
                <c:pt idx="85">
                  <c:v>-2.0555500000000271E-2</c:v>
                </c:pt>
                <c:pt idx="86">
                  <c:v>-3.1874500000000222E-2</c:v>
                </c:pt>
                <c:pt idx="87">
                  <c:v>-4.216450000000023E-2</c:v>
                </c:pt>
                <c:pt idx="88">
                  <c:v>-4.7824000000000325E-2</c:v>
                </c:pt>
                <c:pt idx="89">
                  <c:v>-4.8951000000000307E-2</c:v>
                </c:pt>
                <c:pt idx="90">
                  <c:v>-4.6256000000000276E-2</c:v>
                </c:pt>
                <c:pt idx="91">
                  <c:v>-4.1625500000000294E-2</c:v>
                </c:pt>
                <c:pt idx="92">
                  <c:v>-3.9175500000000321E-2</c:v>
                </c:pt>
                <c:pt idx="93">
                  <c:v>-4.1625500000000322E-2</c:v>
                </c:pt>
                <c:pt idx="94">
                  <c:v>-4.6035500000000326E-2</c:v>
                </c:pt>
                <c:pt idx="95">
                  <c:v>-4.8853000000000285E-2</c:v>
                </c:pt>
                <c:pt idx="96">
                  <c:v>-4.9343000000000282E-2</c:v>
                </c:pt>
                <c:pt idx="97">
                  <c:v>-4.9343000000000282E-2</c:v>
                </c:pt>
                <c:pt idx="98">
                  <c:v>-5.0323000000000284E-2</c:v>
                </c:pt>
                <c:pt idx="99">
                  <c:v>-5.2895500000000324E-2</c:v>
                </c:pt>
                <c:pt idx="100">
                  <c:v>-5.7967000000000254E-2</c:v>
                </c:pt>
                <c:pt idx="101">
                  <c:v>-6.120100000000029E-2</c:v>
                </c:pt>
                <c:pt idx="102">
                  <c:v>-6.1691000000000287E-2</c:v>
                </c:pt>
                <c:pt idx="103">
                  <c:v>-6.3161000000000286E-2</c:v>
                </c:pt>
                <c:pt idx="104">
                  <c:v>-6.5611000000000294E-2</c:v>
                </c:pt>
                <c:pt idx="105">
                  <c:v>-6.8551000000000292E-2</c:v>
                </c:pt>
                <c:pt idx="106">
                  <c:v>-7.0511000000000296E-2</c:v>
                </c:pt>
                <c:pt idx="107">
                  <c:v>-7.1491000000000277E-2</c:v>
                </c:pt>
                <c:pt idx="108">
                  <c:v>-7.2471000000000271E-2</c:v>
                </c:pt>
                <c:pt idx="109">
                  <c:v>-7.4088000000000293E-2</c:v>
                </c:pt>
                <c:pt idx="110">
                  <c:v>-7.6660500000000284E-2</c:v>
                </c:pt>
                <c:pt idx="111">
                  <c:v>-7.8816500000000303E-2</c:v>
                </c:pt>
                <c:pt idx="112">
                  <c:v>-7.9796500000000298E-2</c:v>
                </c:pt>
                <c:pt idx="113">
                  <c:v>-8.0776500000000279E-2</c:v>
                </c:pt>
                <c:pt idx="114">
                  <c:v>-8.2246500000000278E-2</c:v>
                </c:pt>
                <c:pt idx="115">
                  <c:v>-8.4206500000000281E-2</c:v>
                </c:pt>
                <c:pt idx="116">
                  <c:v>-8.6166500000000285E-2</c:v>
                </c:pt>
                <c:pt idx="117">
                  <c:v>-8.7636500000000284E-2</c:v>
                </c:pt>
                <c:pt idx="118">
                  <c:v>-8.8616500000000278E-2</c:v>
                </c:pt>
                <c:pt idx="119">
                  <c:v>-9.0160000000000309E-2</c:v>
                </c:pt>
                <c:pt idx="120">
                  <c:v>3.5132999999999706E-2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187392"/>
        <c:axId val="144188928"/>
      </c:lineChart>
      <c:catAx>
        <c:axId val="144187392"/>
        <c:scaling>
          <c:orientation val="minMax"/>
        </c:scaling>
        <c:delete val="0"/>
        <c:axPos val="b"/>
        <c:majorTickMark val="out"/>
        <c:minorTickMark val="none"/>
        <c:tickLblPos val="nextTo"/>
        <c:crossAx val="144188928"/>
        <c:crosses val="autoZero"/>
        <c:auto val="1"/>
        <c:lblAlgn val="ctr"/>
        <c:lblOffset val="100"/>
        <c:noMultiLvlLbl val="0"/>
      </c:catAx>
      <c:valAx>
        <c:axId val="144188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1873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867016622922128E-2"/>
          <c:y val="6.0659813356663747E-2"/>
          <c:w val="0.70903871391076112"/>
          <c:h val="0.81870771361913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Sheet1!$K$1:$K$122</c:f>
              <c:numCache>
                <c:formatCode>General</c:formatCode>
                <c:ptCount val="122"/>
                <c:pt idx="0">
                  <c:v>0</c:v>
                </c:pt>
                <c:pt idx="1">
                  <c:v>4.4298449999999724E-4</c:v>
                </c:pt>
                <c:pt idx="2">
                  <c:v>1.2147344999999966E-3</c:v>
                </c:pt>
                <c:pt idx="3">
                  <c:v>2.2782059999999901E-3</c:v>
                </c:pt>
                <c:pt idx="4">
                  <c:v>3.5939049999999893E-3</c:v>
                </c:pt>
                <c:pt idx="5">
                  <c:v>5.0044679999999894E-3</c:v>
                </c:pt>
                <c:pt idx="6">
                  <c:v>6.323903249999996E-3</c:v>
                </c:pt>
                <c:pt idx="7">
                  <c:v>7.606037249999989E-3</c:v>
                </c:pt>
                <c:pt idx="8">
                  <c:v>8.7761572499999892E-3</c:v>
                </c:pt>
                <c:pt idx="9">
                  <c:v>9.8913359999999832E-3</c:v>
                </c:pt>
                <c:pt idx="10">
                  <c:v>1.0984905749999987E-2</c:v>
                </c:pt>
                <c:pt idx="11">
                  <c:v>1.240801274999998E-2</c:v>
                </c:pt>
                <c:pt idx="12">
                  <c:v>1.4472186749999994E-2</c:v>
                </c:pt>
                <c:pt idx="13">
                  <c:v>1.7104466749999998E-2</c:v>
                </c:pt>
                <c:pt idx="14">
                  <c:v>2.031494675E-2</c:v>
                </c:pt>
                <c:pt idx="15">
                  <c:v>2.4003666749999961E-2</c:v>
                </c:pt>
                <c:pt idx="16">
                  <c:v>2.8834086749999963E-2</c:v>
                </c:pt>
                <c:pt idx="17">
                  <c:v>3.3528776749999968E-2</c:v>
                </c:pt>
                <c:pt idx="18">
                  <c:v>3.8654397249999972E-2</c:v>
                </c:pt>
                <c:pt idx="19">
                  <c:v>4.4184757750000012E-2</c:v>
                </c:pt>
                <c:pt idx="20">
                  <c:v>5.0695877750000021E-2</c:v>
                </c:pt>
                <c:pt idx="21">
                  <c:v>5.7799897749999954E-2</c:v>
                </c:pt>
                <c:pt idx="22">
                  <c:v>6.5351018249999962E-2</c:v>
                </c:pt>
                <c:pt idx="23">
                  <c:v>7.36860285E-2</c:v>
                </c:pt>
                <c:pt idx="24">
                  <c:v>8.2538895249999966E-2</c:v>
                </c:pt>
                <c:pt idx="25">
                  <c:v>9.1169118250000014E-2</c:v>
                </c:pt>
                <c:pt idx="26">
                  <c:v>9.9922478250000016E-2</c:v>
                </c:pt>
                <c:pt idx="27">
                  <c:v>0.10911389824999991</c:v>
                </c:pt>
                <c:pt idx="28">
                  <c:v>0.11962439824999992</c:v>
                </c:pt>
                <c:pt idx="29">
                  <c:v>0.13087073124999998</c:v>
                </c:pt>
                <c:pt idx="30">
                  <c:v>0.14064280125</c:v>
                </c:pt>
                <c:pt idx="31">
                  <c:v>0.15091968149999996</c:v>
                </c:pt>
                <c:pt idx="32">
                  <c:v>0.16140827850000003</c:v>
                </c:pt>
                <c:pt idx="33">
                  <c:v>0.17272431399999993</c:v>
                </c:pt>
                <c:pt idx="34">
                  <c:v>0.18503002700000001</c:v>
                </c:pt>
                <c:pt idx="35">
                  <c:v>0.19631497200000003</c:v>
                </c:pt>
                <c:pt idx="36">
                  <c:v>0.20889346799999997</c:v>
                </c:pt>
                <c:pt idx="37">
                  <c:v>0.22202299350000004</c:v>
                </c:pt>
                <c:pt idx="38">
                  <c:v>0.23536320675</c:v>
                </c:pt>
                <c:pt idx="39">
                  <c:v>0.24881326574999993</c:v>
                </c:pt>
                <c:pt idx="40">
                  <c:v>0.26177474574999993</c:v>
                </c:pt>
                <c:pt idx="41">
                  <c:v>0.27492193574999996</c:v>
                </c:pt>
                <c:pt idx="42">
                  <c:v>0.28973823724999997</c:v>
                </c:pt>
                <c:pt idx="43">
                  <c:v>0.30577826475000008</c:v>
                </c:pt>
                <c:pt idx="44">
                  <c:v>0.32290023674999996</c:v>
                </c:pt>
                <c:pt idx="45">
                  <c:v>0.33802242074999989</c:v>
                </c:pt>
                <c:pt idx="46">
                  <c:v>0.35325805200000016</c:v>
                </c:pt>
                <c:pt idx="47">
                  <c:v>0.3686189640000001</c:v>
                </c:pt>
                <c:pt idx="48">
                  <c:v>0.38344440400000013</c:v>
                </c:pt>
                <c:pt idx="49">
                  <c:v>0.39841194400000013</c:v>
                </c:pt>
                <c:pt idx="50">
                  <c:v>0.41345739400000014</c:v>
                </c:pt>
                <c:pt idx="51">
                  <c:v>0.43001331799999998</c:v>
                </c:pt>
                <c:pt idx="52">
                  <c:v>0.44645389600000018</c:v>
                </c:pt>
                <c:pt idx="53">
                  <c:v>0.46210935925000013</c:v>
                </c:pt>
                <c:pt idx="54">
                  <c:v>0.47785357375000004</c:v>
                </c:pt>
                <c:pt idx="55">
                  <c:v>0.49295537375000004</c:v>
                </c:pt>
                <c:pt idx="56">
                  <c:v>0.50959807674999991</c:v>
                </c:pt>
                <c:pt idx="57">
                  <c:v>0.52543181425000018</c:v>
                </c:pt>
                <c:pt idx="58">
                  <c:v>0.54039886425000017</c:v>
                </c:pt>
                <c:pt idx="59">
                  <c:v>0.55524341425000023</c:v>
                </c:pt>
                <c:pt idx="60">
                  <c:v>0.57008649425000024</c:v>
                </c:pt>
                <c:pt idx="61">
                  <c:v>0.58648503025000009</c:v>
                </c:pt>
                <c:pt idx="62">
                  <c:v>0.6030943152499999</c:v>
                </c:pt>
                <c:pt idx="63">
                  <c:v>0.62166394324999996</c:v>
                </c:pt>
                <c:pt idx="64">
                  <c:v>0.63744733325000003</c:v>
                </c:pt>
                <c:pt idx="65">
                  <c:v>0.65335444825</c:v>
                </c:pt>
                <c:pt idx="66">
                  <c:v>0.66997074025000025</c:v>
                </c:pt>
                <c:pt idx="67">
                  <c:v>0.68706162175000007</c:v>
                </c:pt>
                <c:pt idx="68">
                  <c:v>0.70301678125</c:v>
                </c:pt>
                <c:pt idx="69">
                  <c:v>0.71903801725000016</c:v>
                </c:pt>
                <c:pt idx="70">
                  <c:v>0.73387560925000006</c:v>
                </c:pt>
                <c:pt idx="71">
                  <c:v>0.74667070975000005</c:v>
                </c:pt>
                <c:pt idx="72">
                  <c:v>0.75722432975000009</c:v>
                </c:pt>
                <c:pt idx="73">
                  <c:v>0.76630937075000027</c:v>
                </c:pt>
                <c:pt idx="74">
                  <c:v>0.77382249175000017</c:v>
                </c:pt>
                <c:pt idx="75">
                  <c:v>0.7788087317500002</c:v>
                </c:pt>
                <c:pt idx="76">
                  <c:v>0.78211765275000023</c:v>
                </c:pt>
                <c:pt idx="77">
                  <c:v>0.78321020575000022</c:v>
                </c:pt>
                <c:pt idx="78">
                  <c:v>0.78255105775000022</c:v>
                </c:pt>
                <c:pt idx="79">
                  <c:v>0.7813152777500002</c:v>
                </c:pt>
                <c:pt idx="80">
                  <c:v>0.77975352525000019</c:v>
                </c:pt>
                <c:pt idx="81">
                  <c:v>0.77819009450000021</c:v>
                </c:pt>
                <c:pt idx="82">
                  <c:v>0.77700571550000019</c:v>
                </c:pt>
                <c:pt idx="83">
                  <c:v>0.77617016750000023</c:v>
                </c:pt>
                <c:pt idx="84">
                  <c:v>0.77562092650000025</c:v>
                </c:pt>
                <c:pt idx="85">
                  <c:v>0.77524739950000021</c:v>
                </c:pt>
                <c:pt idx="86">
                  <c:v>0.77487490150000016</c:v>
                </c:pt>
                <c:pt idx="87">
                  <c:v>0.77427195650000014</c:v>
                </c:pt>
                <c:pt idx="88">
                  <c:v>0.77349454700000009</c:v>
                </c:pt>
                <c:pt idx="89">
                  <c:v>0.77259466200000004</c:v>
                </c:pt>
                <c:pt idx="90">
                  <c:v>0.77157852449999997</c:v>
                </c:pt>
                <c:pt idx="91">
                  <c:v>0.77048364400000002</c:v>
                </c:pt>
                <c:pt idx="92">
                  <c:v>0.76951694749999999</c:v>
                </c:pt>
                <c:pt idx="93">
                  <c:v>0.76866853700000004</c:v>
                </c:pt>
                <c:pt idx="94">
                  <c:v>0.76786052700000007</c:v>
                </c:pt>
                <c:pt idx="95">
                  <c:v>0.76698391700000002</c:v>
                </c:pt>
                <c:pt idx="96">
                  <c:v>0.766035032</c:v>
                </c:pt>
                <c:pt idx="97">
                  <c:v>0.76490577800000004</c:v>
                </c:pt>
                <c:pt idx="98">
                  <c:v>0.763918918</c:v>
                </c:pt>
                <c:pt idx="99">
                  <c:v>0.76292225800000002</c:v>
                </c:pt>
                <c:pt idx="100">
                  <c:v>0.761890073</c:v>
                </c:pt>
                <c:pt idx="101">
                  <c:v>0.76072601674999996</c:v>
                </c:pt>
                <c:pt idx="102">
                  <c:v>0.75935558474999998</c:v>
                </c:pt>
                <c:pt idx="103">
                  <c:v>0.75800377274999997</c:v>
                </c:pt>
                <c:pt idx="104">
                  <c:v>0.75675525275</c:v>
                </c:pt>
                <c:pt idx="105">
                  <c:v>0.75546753275</c:v>
                </c:pt>
                <c:pt idx="106">
                  <c:v>0.75412591274999996</c:v>
                </c:pt>
                <c:pt idx="107">
                  <c:v>0.75273529274999995</c:v>
                </c:pt>
                <c:pt idx="108">
                  <c:v>0.75131527274999999</c:v>
                </c:pt>
                <c:pt idx="109">
                  <c:v>0.74987565275000001</c:v>
                </c:pt>
                <c:pt idx="110">
                  <c:v>0.74841006274999999</c:v>
                </c:pt>
                <c:pt idx="111">
                  <c:v>0.74675182924999994</c:v>
                </c:pt>
                <c:pt idx="112">
                  <c:v>0.74511932074999998</c:v>
                </c:pt>
                <c:pt idx="113">
                  <c:v>0.74337457774999993</c:v>
                </c:pt>
                <c:pt idx="114">
                  <c:v>0.74176884774999996</c:v>
                </c:pt>
                <c:pt idx="115">
                  <c:v>0.74013861775000001</c:v>
                </c:pt>
                <c:pt idx="116">
                  <c:v>0.73847408775000001</c:v>
                </c:pt>
                <c:pt idx="117">
                  <c:v>0.73677035774999999</c:v>
                </c:pt>
                <c:pt idx="118">
                  <c:v>0.73503232774999994</c:v>
                </c:pt>
                <c:pt idx="119">
                  <c:v>0.7332697977499999</c:v>
                </c:pt>
                <c:pt idx="120">
                  <c:v>0.7314820327499999</c:v>
                </c:pt>
                <c:pt idx="121">
                  <c:v>0.73090424924999986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92928"/>
        <c:axId val="118094464"/>
      </c:lineChart>
      <c:catAx>
        <c:axId val="118092928"/>
        <c:scaling>
          <c:orientation val="minMax"/>
        </c:scaling>
        <c:delete val="0"/>
        <c:axPos val="b"/>
        <c:majorTickMark val="out"/>
        <c:minorTickMark val="none"/>
        <c:tickLblPos val="nextTo"/>
        <c:crossAx val="118094464"/>
        <c:crosses val="autoZero"/>
        <c:auto val="1"/>
        <c:lblAlgn val="ctr"/>
        <c:lblOffset val="100"/>
        <c:noMultiLvlLbl val="0"/>
      </c:catAx>
      <c:valAx>
        <c:axId val="1180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8092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Sheet1!$G$1:$G$122</c:f>
              <c:numCache>
                <c:formatCode>General</c:formatCode>
                <c:ptCount val="122"/>
                <c:pt idx="0">
                  <c:v>-4.9000000000000002E-2</c:v>
                </c:pt>
                <c:pt idx="1">
                  <c:v>1.0780000000000001</c:v>
                </c:pt>
                <c:pt idx="2">
                  <c:v>0.98</c:v>
                </c:pt>
                <c:pt idx="3">
                  <c:v>0.39200000000000002</c:v>
                </c:pt>
                <c:pt idx="4">
                  <c:v>0.49</c:v>
                </c:pt>
                <c:pt idx="5">
                  <c:v>0.29399999999999998</c:v>
                </c:pt>
                <c:pt idx="6">
                  <c:v>-0.29399999999999998</c:v>
                </c:pt>
                <c:pt idx="7">
                  <c:v>4.9000000000000002E-2</c:v>
                </c:pt>
                <c:pt idx="8">
                  <c:v>-0.14699999999999999</c:v>
                </c:pt>
                <c:pt idx="9">
                  <c:v>-0.245</c:v>
                </c:pt>
                <c:pt idx="10">
                  <c:v>-0.39200000000000002</c:v>
                </c:pt>
                <c:pt idx="11">
                  <c:v>0.83299999999999996</c:v>
                </c:pt>
                <c:pt idx="12">
                  <c:v>1.7150000000000001</c:v>
                </c:pt>
                <c:pt idx="13">
                  <c:v>1.7150000000000001</c:v>
                </c:pt>
                <c:pt idx="14">
                  <c:v>1.5189999999999999</c:v>
                </c:pt>
                <c:pt idx="15">
                  <c:v>1.0289999999999999</c:v>
                </c:pt>
                <c:pt idx="16">
                  <c:v>0.83299999999999996</c:v>
                </c:pt>
                <c:pt idx="17">
                  <c:v>0.19600000000000001</c:v>
                </c:pt>
                <c:pt idx="18">
                  <c:v>0.98</c:v>
                </c:pt>
                <c:pt idx="19">
                  <c:v>1.5189999999999999</c:v>
                </c:pt>
                <c:pt idx="20">
                  <c:v>1.617</c:v>
                </c:pt>
                <c:pt idx="21">
                  <c:v>1.1759999999999999</c:v>
                </c:pt>
                <c:pt idx="22">
                  <c:v>0.93100000000000005</c:v>
                </c:pt>
                <c:pt idx="23">
                  <c:v>0.58799999999999997</c:v>
                </c:pt>
                <c:pt idx="24">
                  <c:v>1.2250000000000001</c:v>
                </c:pt>
                <c:pt idx="25">
                  <c:v>1.0780000000000001</c:v>
                </c:pt>
                <c:pt idx="26">
                  <c:v>1.7150000000000001</c:v>
                </c:pt>
                <c:pt idx="27">
                  <c:v>0.83299999999999996</c:v>
                </c:pt>
                <c:pt idx="28">
                  <c:v>0.83299999999999996</c:v>
                </c:pt>
                <c:pt idx="29">
                  <c:v>0.73499999999999999</c:v>
                </c:pt>
                <c:pt idx="30">
                  <c:v>-0.29399999999999998</c:v>
                </c:pt>
                <c:pt idx="31">
                  <c:v>-0.19600000000000001</c:v>
                </c:pt>
                <c:pt idx="32">
                  <c:v>0.83299999999999996</c:v>
                </c:pt>
                <c:pt idx="33">
                  <c:v>0.39200000000000002</c:v>
                </c:pt>
                <c:pt idx="34">
                  <c:v>1.0289999999999999</c:v>
                </c:pt>
                <c:pt idx="35">
                  <c:v>1.47</c:v>
                </c:pt>
                <c:pt idx="36">
                  <c:v>1.7150000000000001</c:v>
                </c:pt>
                <c:pt idx="37">
                  <c:v>1.7150000000000001</c:v>
                </c:pt>
                <c:pt idx="38">
                  <c:v>-0.14699999999999999</c:v>
                </c:pt>
                <c:pt idx="39">
                  <c:v>0.49</c:v>
                </c:pt>
                <c:pt idx="40">
                  <c:v>0.19600000000000001</c:v>
                </c:pt>
                <c:pt idx="41">
                  <c:v>0.63700000000000001</c:v>
                </c:pt>
                <c:pt idx="42">
                  <c:v>0.29399999999999998</c:v>
                </c:pt>
                <c:pt idx="43">
                  <c:v>1.617</c:v>
                </c:pt>
                <c:pt idx="44">
                  <c:v>0.53900000000000003</c:v>
                </c:pt>
                <c:pt idx="45">
                  <c:v>4.9000000000000002E-2</c:v>
                </c:pt>
                <c:pt idx="46">
                  <c:v>0.63700000000000001</c:v>
                </c:pt>
                <c:pt idx="47">
                  <c:v>-0.29399999999999998</c:v>
                </c:pt>
                <c:pt idx="48">
                  <c:v>1.127</c:v>
                </c:pt>
                <c:pt idx="49">
                  <c:v>0</c:v>
                </c:pt>
                <c:pt idx="50">
                  <c:v>0.29399999999999998</c:v>
                </c:pt>
                <c:pt idx="51">
                  <c:v>0.14699999999999999</c:v>
                </c:pt>
                <c:pt idx="52">
                  <c:v>-0.53900000000000003</c:v>
                </c:pt>
                <c:pt idx="53">
                  <c:v>-4.9000000000000002E-2</c:v>
                </c:pt>
                <c:pt idx="54">
                  <c:v>0.29399999999999998</c:v>
                </c:pt>
                <c:pt idx="55">
                  <c:v>0.29399999999999998</c:v>
                </c:pt>
                <c:pt idx="56">
                  <c:v>0.14699999999999999</c:v>
                </c:pt>
                <c:pt idx="57">
                  <c:v>-0.34300000000000003</c:v>
                </c:pt>
                <c:pt idx="58">
                  <c:v>4.9000000000000002E-2</c:v>
                </c:pt>
                <c:pt idx="59">
                  <c:v>-0.88200000000000001</c:v>
                </c:pt>
                <c:pt idx="60">
                  <c:v>0.49</c:v>
                </c:pt>
                <c:pt idx="61">
                  <c:v>-0.14699999999999999</c:v>
                </c:pt>
                <c:pt idx="62">
                  <c:v>0.39200000000000002</c:v>
                </c:pt>
                <c:pt idx="63">
                  <c:v>0.98</c:v>
                </c:pt>
                <c:pt idx="64">
                  <c:v>1.127</c:v>
                </c:pt>
                <c:pt idx="65">
                  <c:v>-0.14699999999999999</c:v>
                </c:pt>
                <c:pt idx="66">
                  <c:v>0.39200000000000002</c:v>
                </c:pt>
                <c:pt idx="67">
                  <c:v>-1.3720000000000001</c:v>
                </c:pt>
                <c:pt idx="68">
                  <c:v>-0.34300000000000003</c:v>
                </c:pt>
                <c:pt idx="69">
                  <c:v>-1.127</c:v>
                </c:pt>
                <c:pt idx="70">
                  <c:v>-3.1360000000000001</c:v>
                </c:pt>
                <c:pt idx="71">
                  <c:v>-2.6459999999999999</c:v>
                </c:pt>
                <c:pt idx="72">
                  <c:v>-4.3120000000000003</c:v>
                </c:pt>
                <c:pt idx="73">
                  <c:v>-4.6059999999999999</c:v>
                </c:pt>
                <c:pt idx="74">
                  <c:v>-4.165</c:v>
                </c:pt>
                <c:pt idx="75">
                  <c:v>-4.41</c:v>
                </c:pt>
                <c:pt idx="76">
                  <c:v>-4.5570000000000004</c:v>
                </c:pt>
                <c:pt idx="77">
                  <c:v>-4.4589999999999996</c:v>
                </c:pt>
                <c:pt idx="78">
                  <c:v>-4.0670000000000002</c:v>
                </c:pt>
                <c:pt idx="79">
                  <c:v>-1.127</c:v>
                </c:pt>
                <c:pt idx="80">
                  <c:v>-0.39200000000000002</c:v>
                </c:pt>
                <c:pt idx="81">
                  <c:v>0.245</c:v>
                </c:pt>
                <c:pt idx="82">
                  <c:v>0.49</c:v>
                </c:pt>
                <c:pt idx="83">
                  <c:v>0.98</c:v>
                </c:pt>
                <c:pt idx="84">
                  <c:v>0.63700000000000001</c:v>
                </c:pt>
                <c:pt idx="85">
                  <c:v>0.441</c:v>
                </c:pt>
                <c:pt idx="86">
                  <c:v>-4.9000000000000002E-2</c:v>
                </c:pt>
                <c:pt idx="87">
                  <c:v>-0.441</c:v>
                </c:pt>
                <c:pt idx="88">
                  <c:v>-0.63700000000000001</c:v>
                </c:pt>
                <c:pt idx="89">
                  <c:v>-0.39200000000000002</c:v>
                </c:pt>
                <c:pt idx="90">
                  <c:v>-0.14699999999999999</c:v>
                </c:pt>
                <c:pt idx="91">
                  <c:v>4.9000000000000002E-2</c:v>
                </c:pt>
                <c:pt idx="92">
                  <c:v>0.19600000000000001</c:v>
                </c:pt>
                <c:pt idx="93">
                  <c:v>0.245</c:v>
                </c:pt>
                <c:pt idx="94">
                  <c:v>0</c:v>
                </c:pt>
                <c:pt idx="95">
                  <c:v>-0.245</c:v>
                </c:pt>
                <c:pt idx="96">
                  <c:v>-0.19600000000000001</c:v>
                </c:pt>
                <c:pt idx="97">
                  <c:v>-4.9000000000000002E-2</c:v>
                </c:pt>
                <c:pt idx="98">
                  <c:v>0</c:v>
                </c:pt>
                <c:pt idx="99">
                  <c:v>0</c:v>
                </c:pt>
                <c:pt idx="100">
                  <c:v>-9.8000000000000004E-2</c:v>
                </c:pt>
                <c:pt idx="101">
                  <c:v>-0.14699999999999999</c:v>
                </c:pt>
                <c:pt idx="102">
                  <c:v>-0.29399999999999998</c:v>
                </c:pt>
                <c:pt idx="103">
                  <c:v>0</c:v>
                </c:pt>
                <c:pt idx="104">
                  <c:v>-4.9000000000000002E-2</c:v>
                </c:pt>
                <c:pt idx="105">
                  <c:v>-9.8000000000000004E-2</c:v>
                </c:pt>
                <c:pt idx="106">
                  <c:v>-0.14699999999999999</c:v>
                </c:pt>
                <c:pt idx="107">
                  <c:v>-0.14699999999999999</c:v>
                </c:pt>
                <c:pt idx="108">
                  <c:v>-4.9000000000000002E-2</c:v>
                </c:pt>
                <c:pt idx="109">
                  <c:v>-4.9000000000000002E-2</c:v>
                </c:pt>
                <c:pt idx="110">
                  <c:v>-4.9000000000000002E-2</c:v>
                </c:pt>
                <c:pt idx="111">
                  <c:v>-9.8000000000000004E-2</c:v>
                </c:pt>
                <c:pt idx="112">
                  <c:v>-0.14699999999999999</c:v>
                </c:pt>
                <c:pt idx="113">
                  <c:v>-4.9000000000000002E-2</c:v>
                </c:pt>
                <c:pt idx="114">
                  <c:v>-4.9000000000000002E-2</c:v>
                </c:pt>
                <c:pt idx="115">
                  <c:v>-4.9000000000000002E-2</c:v>
                </c:pt>
                <c:pt idx="116">
                  <c:v>-9.8000000000000004E-2</c:v>
                </c:pt>
                <c:pt idx="117">
                  <c:v>-9.8000000000000004E-2</c:v>
                </c:pt>
                <c:pt idx="118">
                  <c:v>-9.8000000000000004E-2</c:v>
                </c:pt>
                <c:pt idx="119">
                  <c:v>-4.9000000000000002E-2</c:v>
                </c:pt>
                <c:pt idx="120">
                  <c:v>-4.9000000000000002E-2</c:v>
                </c:pt>
                <c:pt idx="121">
                  <c:v>-9.8000000000000004E-2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339136"/>
        <c:axId val="123433728"/>
      </c:lineChart>
      <c:catAx>
        <c:axId val="123339136"/>
        <c:scaling>
          <c:orientation val="minMax"/>
        </c:scaling>
        <c:delete val="0"/>
        <c:axPos val="b"/>
        <c:majorTickMark val="out"/>
        <c:minorTickMark val="none"/>
        <c:tickLblPos val="nextTo"/>
        <c:crossAx val="123433728"/>
        <c:crosses val="autoZero"/>
        <c:auto val="1"/>
        <c:lblAlgn val="ctr"/>
        <c:lblOffset val="100"/>
        <c:noMultiLvlLbl val="0"/>
      </c:catAx>
      <c:valAx>
        <c:axId val="123433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33391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513080</xdr:colOff>
      <xdr:row>21</xdr:row>
      <xdr:rowOff>27940</xdr:rowOff>
    </xdr:from>
    <xdr:to>
      <xdr:col>20</xdr:col>
      <xdr:colOff>510540</xdr:colOff>
      <xdr:row>36</xdr:row>
      <xdr:rowOff>8890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535940</xdr:colOff>
      <xdr:row>38</xdr:row>
      <xdr:rowOff>7620</xdr:rowOff>
    </xdr:from>
    <xdr:to>
      <xdr:col>20</xdr:col>
      <xdr:colOff>542290</xdr:colOff>
      <xdr:row>52</xdr:row>
      <xdr:rowOff>171450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533400</xdr:colOff>
      <xdr:row>4</xdr:row>
      <xdr:rowOff>15240</xdr:rowOff>
    </xdr:from>
    <xdr:to>
      <xdr:col>20</xdr:col>
      <xdr:colOff>533400</xdr:colOff>
      <xdr:row>19</xdr:row>
      <xdr:rowOff>15240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acce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2"/>
  <sheetViews>
    <sheetView tabSelected="1" topLeftCell="D68" zoomScaleNormal="100" workbookViewId="0">
      <selection activeCell="N82" sqref="N82"/>
    </sheetView>
  </sheetViews>
  <sheetFormatPr defaultRowHeight="14.4" x14ac:dyDescent="0.3"/>
  <cols>
    <col min="1" max="1" width="6.77734375" customWidth="1"/>
    <col min="2" max="2" width="7.21875" customWidth="1"/>
    <col min="3" max="3" width="9.5546875" customWidth="1"/>
    <col min="4" max="4" width="9.77734375" customWidth="1"/>
    <col min="7" max="7" width="10" bestFit="1" customWidth="1"/>
    <col min="14" max="14" width="7.88671875" customWidth="1"/>
    <col min="15" max="15" width="14.21875" customWidth="1"/>
  </cols>
  <sheetData>
    <row r="1" spans="1:16" x14ac:dyDescent="0.3">
      <c r="A1" t="s">
        <v>0</v>
      </c>
      <c r="B1">
        <v>1066</v>
      </c>
      <c r="C1">
        <f>B1/1000</f>
        <v>1.0660000000000001</v>
      </c>
      <c r="D1" t="s">
        <v>6</v>
      </c>
      <c r="E1">
        <v>0</v>
      </c>
      <c r="F1" t="s">
        <v>1</v>
      </c>
      <c r="G1">
        <v>-4.9000000000000002E-2</v>
      </c>
      <c r="H1" t="s">
        <v>2</v>
      </c>
      <c r="I1">
        <f>(E2-E1)*((G1+G2)/2)</f>
        <v>1.0804499999999955E-2</v>
      </c>
      <c r="J1" t="s">
        <v>5</v>
      </c>
      <c r="K1">
        <v>0</v>
      </c>
      <c r="L1" t="s">
        <v>8</v>
      </c>
      <c r="M1" s="1">
        <f>K1*39.3701</f>
        <v>0</v>
      </c>
      <c r="O1" t="s">
        <v>7</v>
      </c>
      <c r="P1">
        <f>SUM(E2:E122)</f>
        <v>156.75899999999993</v>
      </c>
    </row>
    <row r="2" spans="1:16" x14ac:dyDescent="0.3">
      <c r="A2" t="s">
        <v>0</v>
      </c>
      <c r="B2">
        <v>1087</v>
      </c>
      <c r="C2">
        <f>B2/1000</f>
        <v>1.087</v>
      </c>
      <c r="D2" t="s">
        <v>6</v>
      </c>
      <c r="E2">
        <f>(C2-C1)+E1</f>
        <v>2.0999999999999908E-2</v>
      </c>
      <c r="F2" t="s">
        <v>1</v>
      </c>
      <c r="G2">
        <v>1.0780000000000001</v>
      </c>
      <c r="H2" t="s">
        <v>2</v>
      </c>
      <c r="I2">
        <f>(E3-E2)*((G2+G3)/2)+I1</f>
        <v>3.1384499999999968E-2</v>
      </c>
      <c r="J2" t="s">
        <v>5</v>
      </c>
      <c r="K2">
        <f>(E2-E1)*((I1+I2)/2)+K1</f>
        <v>4.4298449999999724E-4</v>
      </c>
      <c r="L2" t="s">
        <v>8</v>
      </c>
      <c r="M2" s="1">
        <f t="shared" ref="M2:M65" si="0">K2*39.3701</f>
        <v>1.7440344063449891E-2</v>
      </c>
      <c r="O2" t="s">
        <v>3</v>
      </c>
      <c r="P2">
        <f>AVERAGE(I1:I122)</f>
        <v>0.28205363934426209</v>
      </c>
    </row>
    <row r="3" spans="1:16" x14ac:dyDescent="0.3">
      <c r="A3" t="s">
        <v>0</v>
      </c>
      <c r="B3">
        <v>1107</v>
      </c>
      <c r="C3">
        <f t="shared" ref="C3:C66" si="1">B3/1000</f>
        <v>1.107</v>
      </c>
      <c r="D3" t="s">
        <v>6</v>
      </c>
      <c r="E3">
        <f>(C3-C2)+E2</f>
        <v>4.0999999999999925E-2</v>
      </c>
      <c r="F3" t="s">
        <v>1</v>
      </c>
      <c r="G3">
        <v>0.98</v>
      </c>
      <c r="H3" t="s">
        <v>2</v>
      </c>
      <c r="I3">
        <f>(E4-E3)*((G3+G4)/2)+I2</f>
        <v>4.5790499999999901E-2</v>
      </c>
      <c r="J3" t="s">
        <v>5</v>
      </c>
      <c r="K3">
        <f t="shared" ref="K3:K66" si="2">(E3-E2)*((I2+I3)/2)+K2</f>
        <v>1.2147344999999966E-3</v>
      </c>
      <c r="L3" t="s">
        <v>8</v>
      </c>
      <c r="M3" s="1">
        <f t="shared" si="0"/>
        <v>4.7824218738449865E-2</v>
      </c>
      <c r="O3" t="s">
        <v>4</v>
      </c>
      <c r="P3">
        <f>AVERAGE(G1:G122)</f>
        <v>-3.3336065573770612E-2</v>
      </c>
    </row>
    <row r="4" spans="1:16" x14ac:dyDescent="0.3">
      <c r="A4" t="s">
        <v>0</v>
      </c>
      <c r="B4">
        <v>1128</v>
      </c>
      <c r="C4">
        <f t="shared" si="1"/>
        <v>1.1279999999999999</v>
      </c>
      <c r="D4" t="s">
        <v>6</v>
      </c>
      <c r="E4">
        <f t="shared" ref="E4:E67" si="3">(C4-C3)+E3</f>
        <v>6.1999999999999833E-2</v>
      </c>
      <c r="F4" t="s">
        <v>1</v>
      </c>
      <c r="G4">
        <v>0.39200000000000002</v>
      </c>
      <c r="H4" t="s">
        <v>2</v>
      </c>
      <c r="I4">
        <f t="shared" ref="I4:I67" si="4">(E5-E4)*((G4+G5)/2)+I3</f>
        <v>5.549249999999991E-2</v>
      </c>
      <c r="J4" t="s">
        <v>5</v>
      </c>
      <c r="K4">
        <f t="shared" si="2"/>
        <v>2.2782059999999901E-3</v>
      </c>
      <c r="L4" t="s">
        <v>8</v>
      </c>
      <c r="M4" s="1">
        <f t="shared" si="0"/>
        <v>8.9693198040599609E-2</v>
      </c>
      <c r="O4" t="s">
        <v>9</v>
      </c>
    </row>
    <row r="5" spans="1:16" x14ac:dyDescent="0.3">
      <c r="A5" t="s">
        <v>0</v>
      </c>
      <c r="B5">
        <v>1150</v>
      </c>
      <c r="C5">
        <f t="shared" si="1"/>
        <v>1.1499999999999999</v>
      </c>
      <c r="D5" t="s">
        <v>6</v>
      </c>
      <c r="E5">
        <f t="shared" si="3"/>
        <v>8.3999999999999853E-2</v>
      </c>
      <c r="F5" t="s">
        <v>1</v>
      </c>
      <c r="G5">
        <v>0.49</v>
      </c>
      <c r="H5" t="s">
        <v>2</v>
      </c>
      <c r="I5">
        <f t="shared" si="4"/>
        <v>6.4116499999999924E-2</v>
      </c>
      <c r="J5" t="s">
        <v>5</v>
      </c>
      <c r="K5">
        <f t="shared" si="2"/>
        <v>3.5939049999999893E-3</v>
      </c>
      <c r="L5" t="s">
        <v>8</v>
      </c>
      <c r="M5" s="1">
        <f t="shared" si="0"/>
        <v>0.14149239924049958</v>
      </c>
    </row>
    <row r="6" spans="1:16" x14ac:dyDescent="0.3">
      <c r="A6" t="s">
        <v>0</v>
      </c>
      <c r="B6">
        <v>1172</v>
      </c>
      <c r="C6">
        <f t="shared" si="1"/>
        <v>1.1719999999999999</v>
      </c>
      <c r="D6" t="s">
        <v>6</v>
      </c>
      <c r="E6">
        <f t="shared" si="3"/>
        <v>0.10599999999999987</v>
      </c>
      <c r="F6" t="s">
        <v>1</v>
      </c>
      <c r="G6">
        <v>0.29399999999999998</v>
      </c>
      <c r="H6" t="s">
        <v>2</v>
      </c>
      <c r="I6">
        <f t="shared" si="4"/>
        <v>6.4116499999999924E-2</v>
      </c>
      <c r="J6" t="s">
        <v>5</v>
      </c>
      <c r="K6">
        <f t="shared" si="2"/>
        <v>5.0044679999999894E-3</v>
      </c>
      <c r="L6" t="s">
        <v>8</v>
      </c>
      <c r="M6" s="1">
        <f t="shared" si="0"/>
        <v>0.1970264056067996</v>
      </c>
    </row>
    <row r="7" spans="1:16" x14ac:dyDescent="0.3">
      <c r="A7" t="s">
        <v>0</v>
      </c>
      <c r="B7">
        <v>1193</v>
      </c>
      <c r="C7">
        <f t="shared" si="1"/>
        <v>1.1930000000000001</v>
      </c>
      <c r="D7" t="s">
        <v>6</v>
      </c>
      <c r="E7">
        <f t="shared" si="3"/>
        <v>0.127</v>
      </c>
      <c r="F7" t="s">
        <v>1</v>
      </c>
      <c r="G7">
        <v>-0.29399999999999998</v>
      </c>
      <c r="H7" t="s">
        <v>2</v>
      </c>
      <c r="I7">
        <f t="shared" si="4"/>
        <v>6.1543999999999932E-2</v>
      </c>
      <c r="J7" t="s">
        <v>5</v>
      </c>
      <c r="K7">
        <f t="shared" si="2"/>
        <v>6.323903249999996E-3</v>
      </c>
      <c r="L7" t="s">
        <v>8</v>
      </c>
      <c r="M7" s="1">
        <f t="shared" si="0"/>
        <v>0.24897270334282484</v>
      </c>
    </row>
    <row r="8" spans="1:16" x14ac:dyDescent="0.3">
      <c r="A8" t="s">
        <v>0</v>
      </c>
      <c r="B8">
        <v>1214</v>
      </c>
      <c r="C8">
        <f t="shared" si="1"/>
        <v>1.214</v>
      </c>
      <c r="D8" t="s">
        <v>6</v>
      </c>
      <c r="E8">
        <f t="shared" si="3"/>
        <v>0.14799999999999991</v>
      </c>
      <c r="F8" t="s">
        <v>1</v>
      </c>
      <c r="G8">
        <v>4.9000000000000002E-2</v>
      </c>
      <c r="H8" t="s">
        <v>2</v>
      </c>
      <c r="I8">
        <f t="shared" si="4"/>
        <v>6.056399999999993E-2</v>
      </c>
      <c r="J8" t="s">
        <v>5</v>
      </c>
      <c r="K8">
        <f>(E8-E7)*((I7+I8)/2)+K7</f>
        <v>7.606037249999989E-3</v>
      </c>
      <c r="L8" t="s">
        <v>8</v>
      </c>
      <c r="M8" s="1">
        <f t="shared" si="0"/>
        <v>0.2994504471362246</v>
      </c>
    </row>
    <row r="9" spans="1:16" x14ac:dyDescent="0.3">
      <c r="A9" t="s">
        <v>0</v>
      </c>
      <c r="B9">
        <v>1234</v>
      </c>
      <c r="C9">
        <f t="shared" si="1"/>
        <v>1.234</v>
      </c>
      <c r="D9" t="s">
        <v>6</v>
      </c>
      <c r="E9">
        <f t="shared" si="3"/>
        <v>0.16799999999999993</v>
      </c>
      <c r="F9" t="s">
        <v>1</v>
      </c>
      <c r="G9">
        <v>-0.14699999999999999</v>
      </c>
      <c r="H9" t="s">
        <v>2</v>
      </c>
      <c r="I9">
        <f t="shared" si="4"/>
        <v>5.644799999999995E-2</v>
      </c>
      <c r="J9" t="s">
        <v>5</v>
      </c>
      <c r="K9">
        <f t="shared" si="2"/>
        <v>8.7761572499999892E-3</v>
      </c>
      <c r="L9" t="s">
        <v>8</v>
      </c>
      <c r="M9" s="1">
        <f t="shared" si="0"/>
        <v>0.34551818854822458</v>
      </c>
    </row>
    <row r="10" spans="1:16" x14ac:dyDescent="0.3">
      <c r="A10" t="s">
        <v>0</v>
      </c>
      <c r="B10">
        <v>1255</v>
      </c>
      <c r="C10">
        <f t="shared" si="1"/>
        <v>1.2549999999999999</v>
      </c>
      <c r="D10" t="s">
        <v>6</v>
      </c>
      <c r="E10">
        <f t="shared" si="3"/>
        <v>0.18899999999999983</v>
      </c>
      <c r="F10" t="s">
        <v>1</v>
      </c>
      <c r="G10">
        <v>-0.245</v>
      </c>
      <c r="H10" t="s">
        <v>2</v>
      </c>
      <c r="I10">
        <f t="shared" si="4"/>
        <v>4.9759499999999908E-2</v>
      </c>
      <c r="J10" t="s">
        <v>5</v>
      </c>
      <c r="K10">
        <f t="shared" si="2"/>
        <v>9.8913359999999832E-3</v>
      </c>
      <c r="L10" t="s">
        <v>8</v>
      </c>
      <c r="M10" s="1">
        <f t="shared" si="0"/>
        <v>0.38942288745359932</v>
      </c>
    </row>
    <row r="11" spans="1:16" x14ac:dyDescent="0.3">
      <c r="A11" t="s">
        <v>0</v>
      </c>
      <c r="B11">
        <v>1276</v>
      </c>
      <c r="C11">
        <f t="shared" si="1"/>
        <v>1.276</v>
      </c>
      <c r="D11" t="s">
        <v>6</v>
      </c>
      <c r="E11">
        <f t="shared" si="3"/>
        <v>0.20999999999999996</v>
      </c>
      <c r="F11" t="s">
        <v>1</v>
      </c>
      <c r="G11">
        <v>-0.39200000000000002</v>
      </c>
      <c r="H11" t="s">
        <v>2</v>
      </c>
      <c r="I11">
        <f t="shared" si="4"/>
        <v>5.438999999999989E-2</v>
      </c>
      <c r="J11" t="s">
        <v>5</v>
      </c>
      <c r="K11">
        <f t="shared" si="2"/>
        <v>1.0984905749999987E-2</v>
      </c>
      <c r="L11" t="s">
        <v>8</v>
      </c>
      <c r="M11" s="1">
        <f t="shared" si="0"/>
        <v>0.4324768378680745</v>
      </c>
    </row>
    <row r="12" spans="1:16" x14ac:dyDescent="0.3">
      <c r="A12" t="s">
        <v>0</v>
      </c>
      <c r="B12">
        <v>1297</v>
      </c>
      <c r="C12">
        <f t="shared" si="1"/>
        <v>1.2969999999999999</v>
      </c>
      <c r="D12" t="s">
        <v>6</v>
      </c>
      <c r="E12">
        <f t="shared" si="3"/>
        <v>0.23099999999999987</v>
      </c>
      <c r="F12" t="s">
        <v>1</v>
      </c>
      <c r="G12">
        <v>0.83299999999999996</v>
      </c>
      <c r="H12" t="s">
        <v>2</v>
      </c>
      <c r="I12">
        <f t="shared" si="4"/>
        <v>8.1144000000000049E-2</v>
      </c>
      <c r="J12" t="s">
        <v>5</v>
      </c>
      <c r="K12">
        <f t="shared" si="2"/>
        <v>1.240801274999998E-2</v>
      </c>
      <c r="L12" t="s">
        <v>8</v>
      </c>
      <c r="M12" s="1">
        <f t="shared" si="0"/>
        <v>0.48850470276877422</v>
      </c>
    </row>
    <row r="13" spans="1:16" x14ac:dyDescent="0.3">
      <c r="A13" t="s">
        <v>0</v>
      </c>
      <c r="B13">
        <v>1318</v>
      </c>
      <c r="C13">
        <f t="shared" si="1"/>
        <v>1.3180000000000001</v>
      </c>
      <c r="D13" t="s">
        <v>6</v>
      </c>
      <c r="E13">
        <f t="shared" si="3"/>
        <v>0.252</v>
      </c>
      <c r="F13" t="s">
        <v>1</v>
      </c>
      <c r="G13">
        <v>1.7150000000000001</v>
      </c>
      <c r="H13" t="s">
        <v>2</v>
      </c>
      <c r="I13">
        <f t="shared" si="4"/>
        <v>0.11544400000000007</v>
      </c>
      <c r="J13" t="s">
        <v>5</v>
      </c>
      <c r="K13">
        <f t="shared" si="2"/>
        <v>1.4472186749999994E-2</v>
      </c>
      <c r="L13" t="s">
        <v>8</v>
      </c>
      <c r="M13" s="1">
        <f t="shared" si="0"/>
        <v>0.56977143956617482</v>
      </c>
    </row>
    <row r="14" spans="1:16" x14ac:dyDescent="0.3">
      <c r="A14" t="s">
        <v>0</v>
      </c>
      <c r="B14">
        <v>1338</v>
      </c>
      <c r="C14">
        <f t="shared" si="1"/>
        <v>1.3380000000000001</v>
      </c>
      <c r="D14" t="s">
        <v>6</v>
      </c>
      <c r="E14">
        <f t="shared" si="3"/>
        <v>0.27200000000000002</v>
      </c>
      <c r="F14" t="s">
        <v>1</v>
      </c>
      <c r="G14">
        <v>1.7150000000000001</v>
      </c>
      <c r="H14" t="s">
        <v>2</v>
      </c>
      <c r="I14">
        <f t="shared" si="4"/>
        <v>0.14778400000000011</v>
      </c>
      <c r="J14" t="s">
        <v>5</v>
      </c>
      <c r="K14">
        <f t="shared" si="2"/>
        <v>1.7104466749999998E-2</v>
      </c>
      <c r="L14" t="s">
        <v>8</v>
      </c>
      <c r="M14" s="1">
        <f t="shared" si="0"/>
        <v>0.6734045663941749</v>
      </c>
    </row>
    <row r="15" spans="1:16" x14ac:dyDescent="0.3">
      <c r="A15" t="s">
        <v>0</v>
      </c>
      <c r="B15">
        <v>1358</v>
      </c>
      <c r="C15">
        <f t="shared" si="1"/>
        <v>1.3580000000000001</v>
      </c>
      <c r="D15" t="s">
        <v>6</v>
      </c>
      <c r="E15">
        <f t="shared" si="3"/>
        <v>0.29200000000000004</v>
      </c>
      <c r="F15" t="s">
        <v>1</v>
      </c>
      <c r="G15">
        <v>1.5189999999999999</v>
      </c>
      <c r="H15" t="s">
        <v>2</v>
      </c>
      <c r="I15">
        <f t="shared" si="4"/>
        <v>0.17326399999999986</v>
      </c>
      <c r="J15" t="s">
        <v>5</v>
      </c>
      <c r="K15">
        <f t="shared" si="2"/>
        <v>2.031494675E-2</v>
      </c>
      <c r="L15" t="s">
        <v>8</v>
      </c>
      <c r="M15" s="1">
        <f t="shared" si="0"/>
        <v>0.79980148504217496</v>
      </c>
    </row>
    <row r="16" spans="1:16" x14ac:dyDescent="0.3">
      <c r="A16" t="s">
        <v>0</v>
      </c>
      <c r="B16">
        <v>1378</v>
      </c>
      <c r="C16">
        <f t="shared" si="1"/>
        <v>1.3779999999999999</v>
      </c>
      <c r="D16" t="s">
        <v>6</v>
      </c>
      <c r="E16">
        <f t="shared" si="3"/>
        <v>0.31199999999999983</v>
      </c>
      <c r="F16" t="s">
        <v>1</v>
      </c>
      <c r="G16">
        <v>1.0289999999999999</v>
      </c>
      <c r="H16" t="s">
        <v>2</v>
      </c>
      <c r="I16">
        <f t="shared" si="4"/>
        <v>0.19560799999999989</v>
      </c>
      <c r="J16" t="s">
        <v>5</v>
      </c>
      <c r="K16">
        <f t="shared" si="2"/>
        <v>2.4003666749999961E-2</v>
      </c>
      <c r="L16" t="s">
        <v>8</v>
      </c>
      <c r="M16" s="1">
        <f t="shared" si="0"/>
        <v>0.94502676031417354</v>
      </c>
    </row>
    <row r="17" spans="1:15" x14ac:dyDescent="0.3">
      <c r="A17" t="s">
        <v>0</v>
      </c>
      <c r="B17">
        <v>1402</v>
      </c>
      <c r="C17">
        <f t="shared" si="1"/>
        <v>1.4019999999999999</v>
      </c>
      <c r="D17" t="s">
        <v>6</v>
      </c>
      <c r="E17">
        <f t="shared" si="3"/>
        <v>0.33599999999999985</v>
      </c>
      <c r="F17" t="s">
        <v>1</v>
      </c>
      <c r="G17">
        <v>0.83299999999999996</v>
      </c>
      <c r="H17" t="s">
        <v>2</v>
      </c>
      <c r="I17">
        <f t="shared" si="4"/>
        <v>0.20692699999999992</v>
      </c>
      <c r="J17" t="s">
        <v>5</v>
      </c>
      <c r="K17">
        <f t="shared" si="2"/>
        <v>2.8834086749999963E-2</v>
      </c>
      <c r="L17" t="s">
        <v>8</v>
      </c>
      <c r="M17" s="1">
        <f t="shared" si="0"/>
        <v>1.1352008787561736</v>
      </c>
    </row>
    <row r="18" spans="1:15" x14ac:dyDescent="0.3">
      <c r="A18" t="s">
        <v>0</v>
      </c>
      <c r="B18">
        <v>1424</v>
      </c>
      <c r="C18">
        <f t="shared" si="1"/>
        <v>1.4239999999999999</v>
      </c>
      <c r="D18" t="s">
        <v>6</v>
      </c>
      <c r="E18">
        <f t="shared" si="3"/>
        <v>0.35799999999999987</v>
      </c>
      <c r="F18" t="s">
        <v>1</v>
      </c>
      <c r="G18">
        <v>0.19600000000000001</v>
      </c>
      <c r="H18" t="s">
        <v>2</v>
      </c>
      <c r="I18">
        <f t="shared" si="4"/>
        <v>0.21986299999999992</v>
      </c>
      <c r="J18" t="s">
        <v>5</v>
      </c>
      <c r="K18">
        <f t="shared" si="2"/>
        <v>3.3528776749999968E-2</v>
      </c>
      <c r="L18" t="s">
        <v>8</v>
      </c>
      <c r="M18" s="1">
        <f t="shared" si="0"/>
        <v>1.3200312935251737</v>
      </c>
    </row>
    <row r="19" spans="1:15" x14ac:dyDescent="0.3">
      <c r="A19" t="s">
        <v>0</v>
      </c>
      <c r="B19">
        <v>1446</v>
      </c>
      <c r="C19">
        <f t="shared" si="1"/>
        <v>1.446</v>
      </c>
      <c r="D19" t="s">
        <v>6</v>
      </c>
      <c r="E19">
        <f t="shared" si="3"/>
        <v>0.37999999999999989</v>
      </c>
      <c r="F19" t="s">
        <v>1</v>
      </c>
      <c r="G19">
        <v>0.98</v>
      </c>
      <c r="H19" t="s">
        <v>2</v>
      </c>
      <c r="I19">
        <f t="shared" si="4"/>
        <v>0.24610250000000009</v>
      </c>
      <c r="J19" t="s">
        <v>5</v>
      </c>
      <c r="K19">
        <f t="shared" si="2"/>
        <v>3.8654397249999972E-2</v>
      </c>
      <c r="L19" t="s">
        <v>8</v>
      </c>
      <c r="M19" s="1">
        <f t="shared" si="0"/>
        <v>1.521827485172224</v>
      </c>
    </row>
    <row r="20" spans="1:15" x14ac:dyDescent="0.3">
      <c r="A20" t="s">
        <v>0</v>
      </c>
      <c r="B20">
        <v>1467</v>
      </c>
      <c r="C20">
        <f t="shared" si="1"/>
        <v>1.4670000000000001</v>
      </c>
      <c r="D20" t="s">
        <v>6</v>
      </c>
      <c r="E20">
        <f t="shared" si="3"/>
        <v>0.40100000000000002</v>
      </c>
      <c r="F20" t="s">
        <v>1</v>
      </c>
      <c r="G20">
        <v>1.5189999999999999</v>
      </c>
      <c r="H20" t="s">
        <v>2</v>
      </c>
      <c r="I20">
        <f t="shared" si="4"/>
        <v>0.28059850000000014</v>
      </c>
      <c r="J20" t="s">
        <v>5</v>
      </c>
      <c r="K20">
        <f t="shared" si="2"/>
        <v>4.4184757750000012E-2</v>
      </c>
      <c r="L20" t="s">
        <v>8</v>
      </c>
      <c r="M20" s="1">
        <f t="shared" si="0"/>
        <v>1.7395583310932754</v>
      </c>
    </row>
    <row r="21" spans="1:15" x14ac:dyDescent="0.3">
      <c r="A21" t="s">
        <v>0</v>
      </c>
      <c r="B21">
        <v>1489</v>
      </c>
      <c r="C21">
        <f t="shared" si="1"/>
        <v>1.4890000000000001</v>
      </c>
      <c r="D21" t="s">
        <v>6</v>
      </c>
      <c r="E21">
        <f t="shared" si="3"/>
        <v>0.42300000000000004</v>
      </c>
      <c r="F21" t="s">
        <v>1</v>
      </c>
      <c r="G21">
        <v>1.617</v>
      </c>
      <c r="H21" t="s">
        <v>2</v>
      </c>
      <c r="I21">
        <f t="shared" si="4"/>
        <v>0.31132149999999986</v>
      </c>
      <c r="J21" t="s">
        <v>5</v>
      </c>
      <c r="K21">
        <f t="shared" si="2"/>
        <v>5.0695877750000021E-2</v>
      </c>
      <c r="L21" t="s">
        <v>8</v>
      </c>
      <c r="M21" s="1">
        <f t="shared" si="0"/>
        <v>1.9959017766052758</v>
      </c>
      <c r="O21" t="s">
        <v>10</v>
      </c>
    </row>
    <row r="22" spans="1:15" x14ac:dyDescent="0.3">
      <c r="A22" t="s">
        <v>0</v>
      </c>
      <c r="B22">
        <v>1511</v>
      </c>
      <c r="C22">
        <f t="shared" si="1"/>
        <v>1.5109999999999999</v>
      </c>
      <c r="D22" t="s">
        <v>6</v>
      </c>
      <c r="E22">
        <f t="shared" si="3"/>
        <v>0.44499999999999984</v>
      </c>
      <c r="F22" t="s">
        <v>1</v>
      </c>
      <c r="G22">
        <v>1.1759999999999999</v>
      </c>
      <c r="H22" t="s">
        <v>2</v>
      </c>
      <c r="I22">
        <f t="shared" si="4"/>
        <v>0.33449849999999987</v>
      </c>
      <c r="J22" t="s">
        <v>5</v>
      </c>
      <c r="K22">
        <f t="shared" si="2"/>
        <v>5.7799897749999954E-2</v>
      </c>
      <c r="L22" t="s">
        <v>8</v>
      </c>
      <c r="M22" s="1">
        <f t="shared" si="0"/>
        <v>2.2755877544072733</v>
      </c>
    </row>
    <row r="23" spans="1:15" x14ac:dyDescent="0.3">
      <c r="A23" t="s">
        <v>0</v>
      </c>
      <c r="B23">
        <v>1533</v>
      </c>
      <c r="C23">
        <f t="shared" si="1"/>
        <v>1.5329999999999999</v>
      </c>
      <c r="D23" t="s">
        <v>6</v>
      </c>
      <c r="E23">
        <f t="shared" si="3"/>
        <v>0.46699999999999986</v>
      </c>
      <c r="F23" t="s">
        <v>1</v>
      </c>
      <c r="G23">
        <v>0.93100000000000005</v>
      </c>
      <c r="H23" t="s">
        <v>2</v>
      </c>
      <c r="I23">
        <f t="shared" si="4"/>
        <v>0.35196699999999997</v>
      </c>
      <c r="J23" t="s">
        <v>5</v>
      </c>
      <c r="K23">
        <f t="shared" si="2"/>
        <v>6.5351018249999962E-2</v>
      </c>
      <c r="L23" t="s">
        <v>8</v>
      </c>
      <c r="M23" s="1">
        <f t="shared" si="0"/>
        <v>2.5728761236043236</v>
      </c>
    </row>
    <row r="24" spans="1:15" x14ac:dyDescent="0.3">
      <c r="A24" t="s">
        <v>0</v>
      </c>
      <c r="B24">
        <v>1556</v>
      </c>
      <c r="C24">
        <f t="shared" si="1"/>
        <v>1.556</v>
      </c>
      <c r="D24" t="s">
        <v>6</v>
      </c>
      <c r="E24">
        <f t="shared" si="3"/>
        <v>0.49</v>
      </c>
      <c r="F24" t="s">
        <v>1</v>
      </c>
      <c r="G24">
        <v>0.58799999999999997</v>
      </c>
      <c r="H24" t="s">
        <v>2</v>
      </c>
      <c r="I24">
        <f t="shared" si="4"/>
        <v>0.37281649999999988</v>
      </c>
      <c r="J24" t="s">
        <v>5</v>
      </c>
      <c r="K24">
        <f t="shared" si="2"/>
        <v>7.36860285E-2</v>
      </c>
      <c r="L24" t="s">
        <v>8</v>
      </c>
      <c r="M24" s="1">
        <f t="shared" si="0"/>
        <v>2.90102631064785</v>
      </c>
    </row>
    <row r="25" spans="1:15" x14ac:dyDescent="0.3">
      <c r="A25" t="s">
        <v>0</v>
      </c>
      <c r="B25">
        <v>1579</v>
      </c>
      <c r="C25">
        <f t="shared" si="1"/>
        <v>1.579</v>
      </c>
      <c r="D25" t="s">
        <v>6</v>
      </c>
      <c r="E25">
        <f t="shared" si="3"/>
        <v>0.5129999999999999</v>
      </c>
      <c r="F25" t="s">
        <v>1</v>
      </c>
      <c r="G25">
        <v>1.2250000000000001</v>
      </c>
      <c r="H25" t="s">
        <v>2</v>
      </c>
      <c r="I25">
        <f t="shared" si="4"/>
        <v>0.39699800000000002</v>
      </c>
      <c r="J25" t="s">
        <v>5</v>
      </c>
      <c r="K25">
        <f t="shared" si="2"/>
        <v>8.2538895249999966E-2</v>
      </c>
      <c r="L25" t="s">
        <v>8</v>
      </c>
      <c r="M25" s="1">
        <f t="shared" si="0"/>
        <v>3.2495645598820238</v>
      </c>
    </row>
    <row r="26" spans="1:15" x14ac:dyDescent="0.3">
      <c r="A26" t="s">
        <v>0</v>
      </c>
      <c r="B26">
        <v>1600</v>
      </c>
      <c r="C26">
        <f t="shared" si="1"/>
        <v>1.6</v>
      </c>
      <c r="D26" t="s">
        <v>6</v>
      </c>
      <c r="E26">
        <f t="shared" si="3"/>
        <v>0.53400000000000003</v>
      </c>
      <c r="F26" t="s">
        <v>1</v>
      </c>
      <c r="G26">
        <v>1.0780000000000001</v>
      </c>
      <c r="H26" t="s">
        <v>2</v>
      </c>
      <c r="I26">
        <f t="shared" si="4"/>
        <v>0.42492800000000003</v>
      </c>
      <c r="J26" t="s">
        <v>5</v>
      </c>
      <c r="K26">
        <f t="shared" si="2"/>
        <v>9.1169118250000014E-2</v>
      </c>
      <c r="L26" t="s">
        <v>8</v>
      </c>
      <c r="M26" s="1">
        <f t="shared" si="0"/>
        <v>3.5893373024143256</v>
      </c>
    </row>
    <row r="27" spans="1:15" x14ac:dyDescent="0.3">
      <c r="A27" t="s">
        <v>0</v>
      </c>
      <c r="B27">
        <v>1620</v>
      </c>
      <c r="C27">
        <f t="shared" si="1"/>
        <v>1.62</v>
      </c>
      <c r="D27" t="s">
        <v>6</v>
      </c>
      <c r="E27">
        <f t="shared" si="3"/>
        <v>0.55400000000000005</v>
      </c>
      <c r="F27" t="s">
        <v>1</v>
      </c>
      <c r="G27">
        <v>1.7150000000000001</v>
      </c>
      <c r="H27" t="s">
        <v>2</v>
      </c>
      <c r="I27">
        <f t="shared" si="4"/>
        <v>0.45040799999999975</v>
      </c>
      <c r="J27" t="s">
        <v>5</v>
      </c>
      <c r="K27">
        <f t="shared" si="2"/>
        <v>9.9922478250000016E-2</v>
      </c>
      <c r="L27" t="s">
        <v>8</v>
      </c>
      <c r="M27" s="1">
        <f t="shared" si="0"/>
        <v>3.9339579609503259</v>
      </c>
    </row>
    <row r="28" spans="1:15" x14ac:dyDescent="0.3">
      <c r="A28" t="s">
        <v>0</v>
      </c>
      <c r="B28">
        <v>1640</v>
      </c>
      <c r="C28">
        <f t="shared" si="1"/>
        <v>1.64</v>
      </c>
      <c r="D28" t="s">
        <v>6</v>
      </c>
      <c r="E28">
        <f t="shared" si="3"/>
        <v>0.57399999999999984</v>
      </c>
      <c r="F28" t="s">
        <v>1</v>
      </c>
      <c r="G28">
        <v>0.83299999999999996</v>
      </c>
      <c r="H28" t="s">
        <v>2</v>
      </c>
      <c r="I28">
        <f t="shared" si="4"/>
        <v>0.46873399999999976</v>
      </c>
      <c r="J28" t="s">
        <v>5</v>
      </c>
      <c r="K28">
        <f t="shared" si="2"/>
        <v>0.10911389824999991</v>
      </c>
      <c r="L28" t="s">
        <v>8</v>
      </c>
      <c r="M28" s="1">
        <f t="shared" si="0"/>
        <v>4.2958250854923214</v>
      </c>
    </row>
    <row r="29" spans="1:15" x14ac:dyDescent="0.3">
      <c r="A29" t="s">
        <v>0</v>
      </c>
      <c r="B29">
        <v>1662</v>
      </c>
      <c r="C29">
        <f t="shared" si="1"/>
        <v>1.6619999999999999</v>
      </c>
      <c r="D29" t="s">
        <v>6</v>
      </c>
      <c r="E29">
        <f t="shared" si="3"/>
        <v>0.59599999999999986</v>
      </c>
      <c r="F29" t="s">
        <v>1</v>
      </c>
      <c r="G29">
        <v>0.83299999999999996</v>
      </c>
      <c r="H29" t="s">
        <v>2</v>
      </c>
      <c r="I29">
        <f t="shared" si="4"/>
        <v>0.48676599999999987</v>
      </c>
      <c r="J29" t="s">
        <v>5</v>
      </c>
      <c r="K29">
        <f t="shared" si="2"/>
        <v>0.11962439824999992</v>
      </c>
      <c r="L29" t="s">
        <v>8</v>
      </c>
      <c r="M29" s="1">
        <f t="shared" si="0"/>
        <v>4.709624521542322</v>
      </c>
    </row>
    <row r="30" spans="1:15" x14ac:dyDescent="0.3">
      <c r="A30" t="s">
        <v>0</v>
      </c>
      <c r="B30">
        <v>1685</v>
      </c>
      <c r="C30">
        <f t="shared" si="1"/>
        <v>1.6850000000000001</v>
      </c>
      <c r="D30" t="s">
        <v>6</v>
      </c>
      <c r="E30">
        <f t="shared" si="3"/>
        <v>0.61899999999999999</v>
      </c>
      <c r="F30" t="s">
        <v>1</v>
      </c>
      <c r="G30">
        <v>0.73499999999999999</v>
      </c>
      <c r="H30" t="s">
        <v>2</v>
      </c>
      <c r="I30">
        <f t="shared" si="4"/>
        <v>0.49117599999999989</v>
      </c>
      <c r="J30" t="s">
        <v>5</v>
      </c>
      <c r="K30">
        <f t="shared" si="2"/>
        <v>0.13087073124999998</v>
      </c>
      <c r="L30" t="s">
        <v>8</v>
      </c>
      <c r="M30" s="1">
        <f t="shared" si="0"/>
        <v>5.1523937763856242</v>
      </c>
    </row>
    <row r="31" spans="1:15" x14ac:dyDescent="0.3">
      <c r="A31" t="s">
        <v>0</v>
      </c>
      <c r="B31">
        <v>1705</v>
      </c>
      <c r="C31">
        <f t="shared" si="1"/>
        <v>1.7050000000000001</v>
      </c>
      <c r="D31" t="s">
        <v>6</v>
      </c>
      <c r="E31">
        <f t="shared" si="3"/>
        <v>0.63900000000000001</v>
      </c>
      <c r="F31" t="s">
        <v>1</v>
      </c>
      <c r="G31">
        <v>-0.29399999999999998</v>
      </c>
      <c r="H31" t="s">
        <v>2</v>
      </c>
      <c r="I31">
        <f t="shared" si="4"/>
        <v>0.48603099999999994</v>
      </c>
      <c r="J31" t="s">
        <v>5</v>
      </c>
      <c r="K31">
        <f t="shared" si="2"/>
        <v>0.14064280125</v>
      </c>
      <c r="L31" t="s">
        <v>8</v>
      </c>
      <c r="M31" s="1">
        <f t="shared" si="0"/>
        <v>5.5371211494926253</v>
      </c>
    </row>
    <row r="32" spans="1:15" x14ac:dyDescent="0.3">
      <c r="A32" t="s">
        <v>0</v>
      </c>
      <c r="B32">
        <v>1726</v>
      </c>
      <c r="C32">
        <f t="shared" si="1"/>
        <v>1.726</v>
      </c>
      <c r="D32" t="s">
        <v>6</v>
      </c>
      <c r="E32">
        <f t="shared" si="3"/>
        <v>0.65999999999999992</v>
      </c>
      <c r="F32" t="s">
        <v>1</v>
      </c>
      <c r="G32">
        <v>-0.19600000000000001</v>
      </c>
      <c r="H32" t="s">
        <v>2</v>
      </c>
      <c r="I32">
        <f t="shared" si="4"/>
        <v>0.49271949999999998</v>
      </c>
      <c r="J32" t="s">
        <v>5</v>
      </c>
      <c r="K32">
        <f t="shared" si="2"/>
        <v>0.15091968149999996</v>
      </c>
      <c r="L32" t="s">
        <v>8</v>
      </c>
      <c r="M32" s="1">
        <f t="shared" si="0"/>
        <v>5.9417229526231488</v>
      </c>
    </row>
    <row r="33" spans="1:15" x14ac:dyDescent="0.3">
      <c r="A33" t="s">
        <v>0</v>
      </c>
      <c r="B33">
        <v>1747</v>
      </c>
      <c r="C33">
        <f t="shared" si="1"/>
        <v>1.7470000000000001</v>
      </c>
      <c r="D33" t="s">
        <v>6</v>
      </c>
      <c r="E33">
        <f t="shared" si="3"/>
        <v>0.68100000000000005</v>
      </c>
      <c r="F33" t="s">
        <v>1</v>
      </c>
      <c r="G33">
        <v>0.83299999999999996</v>
      </c>
      <c r="H33" t="s">
        <v>2</v>
      </c>
      <c r="I33">
        <f t="shared" si="4"/>
        <v>0.50619449999999988</v>
      </c>
      <c r="J33" t="s">
        <v>5</v>
      </c>
      <c r="K33">
        <f t="shared" si="2"/>
        <v>0.16140827850000003</v>
      </c>
      <c r="L33" t="s">
        <v>8</v>
      </c>
      <c r="M33" s="1">
        <f t="shared" si="0"/>
        <v>6.3546600653728511</v>
      </c>
    </row>
    <row r="34" spans="1:15" x14ac:dyDescent="0.3">
      <c r="A34" t="s">
        <v>0</v>
      </c>
      <c r="B34">
        <v>1769</v>
      </c>
      <c r="C34">
        <f t="shared" si="1"/>
        <v>1.7689999999999999</v>
      </c>
      <c r="D34" t="s">
        <v>6</v>
      </c>
      <c r="E34">
        <f t="shared" si="3"/>
        <v>0.70299999999999985</v>
      </c>
      <c r="F34" t="s">
        <v>1</v>
      </c>
      <c r="G34">
        <v>0.39200000000000002</v>
      </c>
      <c r="H34" t="s">
        <v>2</v>
      </c>
      <c r="I34">
        <f t="shared" si="4"/>
        <v>0.522536</v>
      </c>
      <c r="J34" t="s">
        <v>5</v>
      </c>
      <c r="K34">
        <f t="shared" si="2"/>
        <v>0.17272431399999993</v>
      </c>
      <c r="L34" t="s">
        <v>8</v>
      </c>
      <c r="M34" s="1">
        <f t="shared" si="0"/>
        <v>6.800173514611398</v>
      </c>
    </row>
    <row r="35" spans="1:15" x14ac:dyDescent="0.3">
      <c r="A35" t="s">
        <v>0</v>
      </c>
      <c r="B35">
        <v>1792</v>
      </c>
      <c r="C35">
        <f t="shared" si="1"/>
        <v>1.792</v>
      </c>
      <c r="D35" t="s">
        <v>6</v>
      </c>
      <c r="E35">
        <f t="shared" si="3"/>
        <v>0.72599999999999998</v>
      </c>
      <c r="F35" t="s">
        <v>1</v>
      </c>
      <c r="G35">
        <v>1.0289999999999999</v>
      </c>
      <c r="H35" t="s">
        <v>2</v>
      </c>
      <c r="I35">
        <f t="shared" si="4"/>
        <v>0.54752600000000007</v>
      </c>
      <c r="J35" t="s">
        <v>5</v>
      </c>
      <c r="K35">
        <f t="shared" si="2"/>
        <v>0.18503002700000001</v>
      </c>
      <c r="L35" t="s">
        <v>8</v>
      </c>
      <c r="M35" s="1">
        <f t="shared" si="0"/>
        <v>7.2846506659927011</v>
      </c>
    </row>
    <row r="36" spans="1:15" x14ac:dyDescent="0.3">
      <c r="A36" t="s">
        <v>0</v>
      </c>
      <c r="B36">
        <v>1812</v>
      </c>
      <c r="C36">
        <f t="shared" si="1"/>
        <v>1.8120000000000001</v>
      </c>
      <c r="D36" t="s">
        <v>6</v>
      </c>
      <c r="E36">
        <f t="shared" si="3"/>
        <v>0.746</v>
      </c>
      <c r="F36" t="s">
        <v>1</v>
      </c>
      <c r="G36">
        <v>1.47</v>
      </c>
      <c r="H36" t="s">
        <v>2</v>
      </c>
      <c r="I36">
        <f t="shared" si="4"/>
        <v>0.58096849999999989</v>
      </c>
      <c r="J36" t="s">
        <v>5</v>
      </c>
      <c r="K36">
        <f t="shared" si="2"/>
        <v>0.19631497200000003</v>
      </c>
      <c r="L36" t="s">
        <v>8</v>
      </c>
      <c r="M36" s="1">
        <f t="shared" si="0"/>
        <v>7.7289400791372014</v>
      </c>
    </row>
    <row r="37" spans="1:15" x14ac:dyDescent="0.3">
      <c r="A37" t="s">
        <v>0</v>
      </c>
      <c r="B37">
        <v>1833</v>
      </c>
      <c r="C37">
        <f t="shared" si="1"/>
        <v>1.833</v>
      </c>
      <c r="D37" t="s">
        <v>6</v>
      </c>
      <c r="E37">
        <f t="shared" si="3"/>
        <v>0.7669999999999999</v>
      </c>
      <c r="F37" t="s">
        <v>1</v>
      </c>
      <c r="G37">
        <v>1.7150000000000001</v>
      </c>
      <c r="H37" t="s">
        <v>2</v>
      </c>
      <c r="I37">
        <f t="shared" si="4"/>
        <v>0.61698350000000013</v>
      </c>
      <c r="J37" t="s">
        <v>5</v>
      </c>
      <c r="K37">
        <f t="shared" si="2"/>
        <v>0.20889346799999997</v>
      </c>
      <c r="L37" t="s">
        <v>8</v>
      </c>
      <c r="M37" s="1">
        <f t="shared" si="0"/>
        <v>8.2241567245067984</v>
      </c>
    </row>
    <row r="38" spans="1:15" x14ac:dyDescent="0.3">
      <c r="A38" t="s">
        <v>0</v>
      </c>
      <c r="B38">
        <v>1854</v>
      </c>
      <c r="C38">
        <f t="shared" si="1"/>
        <v>1.8540000000000001</v>
      </c>
      <c r="D38" t="s">
        <v>6</v>
      </c>
      <c r="E38">
        <f t="shared" si="3"/>
        <v>0.78800000000000003</v>
      </c>
      <c r="F38" t="s">
        <v>1</v>
      </c>
      <c r="G38">
        <v>1.7150000000000001</v>
      </c>
      <c r="H38" t="s">
        <v>2</v>
      </c>
      <c r="I38">
        <f t="shared" si="4"/>
        <v>0.63344750000000005</v>
      </c>
      <c r="J38" t="s">
        <v>5</v>
      </c>
      <c r="K38">
        <f t="shared" si="2"/>
        <v>0.22202299350000004</v>
      </c>
      <c r="L38" t="s">
        <v>8</v>
      </c>
      <c r="M38" s="1">
        <f t="shared" si="0"/>
        <v>8.7410674563943527</v>
      </c>
      <c r="O38" t="s">
        <v>11</v>
      </c>
    </row>
    <row r="39" spans="1:15" x14ac:dyDescent="0.3">
      <c r="A39" t="s">
        <v>0</v>
      </c>
      <c r="B39">
        <v>1875</v>
      </c>
      <c r="C39">
        <f t="shared" si="1"/>
        <v>1.875</v>
      </c>
      <c r="D39" t="s">
        <v>6</v>
      </c>
      <c r="E39">
        <f t="shared" si="3"/>
        <v>0.80899999999999994</v>
      </c>
      <c r="F39" t="s">
        <v>1</v>
      </c>
      <c r="G39">
        <v>-0.14699999999999999</v>
      </c>
      <c r="H39" t="s">
        <v>2</v>
      </c>
      <c r="I39">
        <f t="shared" si="4"/>
        <v>0.63704900000000009</v>
      </c>
      <c r="J39" t="s">
        <v>5</v>
      </c>
      <c r="K39">
        <f t="shared" si="2"/>
        <v>0.23536320675</v>
      </c>
      <c r="L39" t="s">
        <v>8</v>
      </c>
      <c r="M39" s="1">
        <f t="shared" si="0"/>
        <v>9.2662729860681754</v>
      </c>
    </row>
    <row r="40" spans="1:15" x14ac:dyDescent="0.3">
      <c r="A40" t="s">
        <v>0</v>
      </c>
      <c r="B40">
        <v>1896</v>
      </c>
      <c r="C40">
        <f t="shared" si="1"/>
        <v>1.8959999999999999</v>
      </c>
      <c r="D40" t="s">
        <v>6</v>
      </c>
      <c r="E40">
        <f t="shared" si="3"/>
        <v>0.82999999999999985</v>
      </c>
      <c r="F40" t="s">
        <v>1</v>
      </c>
      <c r="G40">
        <v>0.49</v>
      </c>
      <c r="H40" t="s">
        <v>2</v>
      </c>
      <c r="I40">
        <f t="shared" si="4"/>
        <v>0.64390900000000006</v>
      </c>
      <c r="J40" t="s">
        <v>5</v>
      </c>
      <c r="K40">
        <f t="shared" si="2"/>
        <v>0.24881326574999993</v>
      </c>
      <c r="L40" t="s">
        <v>8</v>
      </c>
      <c r="M40" s="1">
        <f t="shared" si="0"/>
        <v>9.7958031539040729</v>
      </c>
    </row>
    <row r="41" spans="1:15" x14ac:dyDescent="0.3">
      <c r="A41" t="s">
        <v>0</v>
      </c>
      <c r="B41">
        <v>1916</v>
      </c>
      <c r="C41">
        <f t="shared" si="1"/>
        <v>1.9159999999999999</v>
      </c>
      <c r="D41" t="s">
        <v>6</v>
      </c>
      <c r="E41">
        <f t="shared" si="3"/>
        <v>0.84999999999999987</v>
      </c>
      <c r="F41" t="s">
        <v>1</v>
      </c>
      <c r="G41">
        <v>0.19600000000000001</v>
      </c>
      <c r="H41" t="s">
        <v>2</v>
      </c>
      <c r="I41">
        <f t="shared" si="4"/>
        <v>0.65223900000000012</v>
      </c>
      <c r="J41" t="s">
        <v>5</v>
      </c>
      <c r="K41">
        <f t="shared" si="2"/>
        <v>0.26177474574999993</v>
      </c>
      <c r="L41" t="s">
        <v>8</v>
      </c>
      <c r="M41" s="1">
        <f t="shared" si="0"/>
        <v>10.306097917652073</v>
      </c>
    </row>
    <row r="42" spans="1:15" x14ac:dyDescent="0.3">
      <c r="A42" t="s">
        <v>0</v>
      </c>
      <c r="B42">
        <v>1936</v>
      </c>
      <c r="C42">
        <f t="shared" si="1"/>
        <v>1.9359999999999999</v>
      </c>
      <c r="D42" t="s">
        <v>6</v>
      </c>
      <c r="E42">
        <f t="shared" si="3"/>
        <v>0.86999999999999988</v>
      </c>
      <c r="F42" t="s">
        <v>1</v>
      </c>
      <c r="G42">
        <v>0.63700000000000001</v>
      </c>
      <c r="H42" t="s">
        <v>2</v>
      </c>
      <c r="I42">
        <f t="shared" si="4"/>
        <v>0.66248000000000018</v>
      </c>
      <c r="J42" t="s">
        <v>5</v>
      </c>
      <c r="K42">
        <f t="shared" si="2"/>
        <v>0.27492193574999996</v>
      </c>
      <c r="L42" t="s">
        <v>8</v>
      </c>
      <c r="M42" s="1">
        <f t="shared" si="0"/>
        <v>10.823704102671073</v>
      </c>
    </row>
    <row r="43" spans="1:15" x14ac:dyDescent="0.3">
      <c r="A43" t="s">
        <v>0</v>
      </c>
      <c r="B43">
        <v>1958</v>
      </c>
      <c r="C43">
        <f t="shared" si="1"/>
        <v>1.958</v>
      </c>
      <c r="D43" t="s">
        <v>6</v>
      </c>
      <c r="E43">
        <f t="shared" si="3"/>
        <v>0.8919999999999999</v>
      </c>
      <c r="F43" t="s">
        <v>1</v>
      </c>
      <c r="G43">
        <v>0.29399999999999998</v>
      </c>
      <c r="H43" t="s">
        <v>2</v>
      </c>
      <c r="I43">
        <f t="shared" si="4"/>
        <v>0.68445650000000036</v>
      </c>
      <c r="J43" t="s">
        <v>5</v>
      </c>
      <c r="K43">
        <f t="shared" si="2"/>
        <v>0.28973823724999997</v>
      </c>
      <c r="L43" t="s">
        <v>8</v>
      </c>
      <c r="M43" s="1">
        <f t="shared" si="0"/>
        <v>11.407023374356225</v>
      </c>
    </row>
    <row r="44" spans="1:15" x14ac:dyDescent="0.3">
      <c r="A44" t="s">
        <v>0</v>
      </c>
      <c r="B44">
        <v>1981</v>
      </c>
      <c r="C44">
        <f t="shared" si="1"/>
        <v>1.9810000000000001</v>
      </c>
      <c r="D44" t="s">
        <v>6</v>
      </c>
      <c r="E44">
        <f t="shared" si="3"/>
        <v>0.91500000000000004</v>
      </c>
      <c r="F44" t="s">
        <v>1</v>
      </c>
      <c r="G44">
        <v>1.617</v>
      </c>
      <c r="H44" t="s">
        <v>2</v>
      </c>
      <c r="I44">
        <f t="shared" si="4"/>
        <v>0.71032850000000014</v>
      </c>
      <c r="J44" t="s">
        <v>5</v>
      </c>
      <c r="K44">
        <f t="shared" si="2"/>
        <v>0.30577826475000008</v>
      </c>
      <c r="L44" t="s">
        <v>8</v>
      </c>
      <c r="M44" s="1">
        <f t="shared" si="0"/>
        <v>12.038520861033978</v>
      </c>
    </row>
    <row r="45" spans="1:15" x14ac:dyDescent="0.3">
      <c r="A45" t="s">
        <v>0</v>
      </c>
      <c r="B45">
        <v>2005</v>
      </c>
      <c r="C45">
        <f t="shared" si="1"/>
        <v>2.0049999999999999</v>
      </c>
      <c r="D45" t="s">
        <v>6</v>
      </c>
      <c r="E45">
        <f t="shared" si="3"/>
        <v>0.93899999999999983</v>
      </c>
      <c r="F45" t="s">
        <v>1</v>
      </c>
      <c r="G45">
        <v>0.53900000000000003</v>
      </c>
      <c r="H45" t="s">
        <v>2</v>
      </c>
      <c r="I45">
        <f t="shared" si="4"/>
        <v>0.71650250000000015</v>
      </c>
      <c r="J45" t="s">
        <v>5</v>
      </c>
      <c r="K45">
        <f t="shared" si="2"/>
        <v>0.32290023674999996</v>
      </c>
      <c r="L45" t="s">
        <v>8</v>
      </c>
      <c r="M45" s="1">
        <f t="shared" si="0"/>
        <v>12.712614610871174</v>
      </c>
    </row>
    <row r="46" spans="1:15" x14ac:dyDescent="0.3">
      <c r="A46" t="s">
        <v>0</v>
      </c>
      <c r="B46">
        <v>2026</v>
      </c>
      <c r="C46">
        <f t="shared" si="1"/>
        <v>2.0259999999999998</v>
      </c>
      <c r="D46" t="s">
        <v>6</v>
      </c>
      <c r="E46">
        <f t="shared" si="3"/>
        <v>0.95999999999999974</v>
      </c>
      <c r="F46" t="s">
        <v>1</v>
      </c>
      <c r="G46">
        <v>4.9000000000000002E-2</v>
      </c>
      <c r="H46" t="s">
        <v>2</v>
      </c>
      <c r="I46">
        <f t="shared" si="4"/>
        <v>0.72370550000000022</v>
      </c>
      <c r="J46" t="s">
        <v>5</v>
      </c>
      <c r="K46">
        <f t="shared" si="2"/>
        <v>0.33802242074999989</v>
      </c>
      <c r="L46" t="s">
        <v>8</v>
      </c>
      <c r="M46" s="1">
        <f t="shared" si="0"/>
        <v>13.30797650716957</v>
      </c>
    </row>
    <row r="47" spans="1:15" x14ac:dyDescent="0.3">
      <c r="A47" t="s">
        <v>0</v>
      </c>
      <c r="B47">
        <v>2047</v>
      </c>
      <c r="C47">
        <f t="shared" si="1"/>
        <v>2.0470000000000002</v>
      </c>
      <c r="D47" t="s">
        <v>6</v>
      </c>
      <c r="E47">
        <f t="shared" si="3"/>
        <v>0.98100000000000009</v>
      </c>
      <c r="F47" t="s">
        <v>1</v>
      </c>
      <c r="G47">
        <v>0.63700000000000001</v>
      </c>
      <c r="H47" t="s">
        <v>2</v>
      </c>
      <c r="I47">
        <f t="shared" si="4"/>
        <v>0.72730700000000026</v>
      </c>
      <c r="J47" t="s">
        <v>5</v>
      </c>
      <c r="K47">
        <f t="shared" si="2"/>
        <v>0.35325805200000016</v>
      </c>
      <c r="L47" t="s">
        <v>8</v>
      </c>
      <c r="M47" s="1">
        <f t="shared" si="0"/>
        <v>13.907804833045207</v>
      </c>
    </row>
    <row r="48" spans="1:15" x14ac:dyDescent="0.3">
      <c r="A48" t="s">
        <v>0</v>
      </c>
      <c r="B48">
        <v>2068</v>
      </c>
      <c r="C48">
        <f t="shared" si="1"/>
        <v>2.0680000000000001</v>
      </c>
      <c r="D48" t="s">
        <v>6</v>
      </c>
      <c r="E48">
        <f t="shared" si="3"/>
        <v>1.002</v>
      </c>
      <c r="F48" t="s">
        <v>1</v>
      </c>
      <c r="G48">
        <v>-0.29399999999999998</v>
      </c>
      <c r="H48" t="s">
        <v>2</v>
      </c>
      <c r="I48">
        <f t="shared" si="4"/>
        <v>0.73563700000000032</v>
      </c>
      <c r="J48" t="s">
        <v>5</v>
      </c>
      <c r="K48">
        <f t="shared" si="2"/>
        <v>0.3686189640000001</v>
      </c>
      <c r="L48" t="s">
        <v>8</v>
      </c>
      <c r="M48" s="1">
        <f t="shared" si="0"/>
        <v>14.512565474576405</v>
      </c>
    </row>
    <row r="49" spans="1:13" x14ac:dyDescent="0.3">
      <c r="A49" t="s">
        <v>0</v>
      </c>
      <c r="B49">
        <v>2088</v>
      </c>
      <c r="C49">
        <f t="shared" si="1"/>
        <v>2.0880000000000001</v>
      </c>
      <c r="D49" t="s">
        <v>6</v>
      </c>
      <c r="E49">
        <f t="shared" si="3"/>
        <v>1.022</v>
      </c>
      <c r="F49" t="s">
        <v>1</v>
      </c>
      <c r="G49">
        <v>1.127</v>
      </c>
      <c r="H49" t="s">
        <v>2</v>
      </c>
      <c r="I49">
        <f t="shared" si="4"/>
        <v>0.74690700000000032</v>
      </c>
      <c r="J49" t="s">
        <v>5</v>
      </c>
      <c r="K49">
        <f t="shared" si="2"/>
        <v>0.38344440400000013</v>
      </c>
      <c r="L49" t="s">
        <v>8</v>
      </c>
      <c r="M49" s="1">
        <f t="shared" si="0"/>
        <v>15.096244529920405</v>
      </c>
    </row>
    <row r="50" spans="1:13" x14ac:dyDescent="0.3">
      <c r="A50" t="s">
        <v>0</v>
      </c>
      <c r="B50">
        <v>2108</v>
      </c>
      <c r="C50">
        <f t="shared" si="1"/>
        <v>2.1080000000000001</v>
      </c>
      <c r="D50" t="s">
        <v>6</v>
      </c>
      <c r="E50">
        <f t="shared" si="3"/>
        <v>1.042</v>
      </c>
      <c r="F50" t="s">
        <v>1</v>
      </c>
      <c r="G50">
        <v>0</v>
      </c>
      <c r="H50" t="s">
        <v>2</v>
      </c>
      <c r="I50">
        <f t="shared" si="4"/>
        <v>0.74984700000000037</v>
      </c>
      <c r="J50" t="s">
        <v>5</v>
      </c>
      <c r="K50">
        <f t="shared" si="2"/>
        <v>0.39841194400000013</v>
      </c>
      <c r="L50" t="s">
        <v>8</v>
      </c>
      <c r="M50" s="1">
        <f t="shared" si="0"/>
        <v>15.685518076474406</v>
      </c>
    </row>
    <row r="51" spans="1:13" x14ac:dyDescent="0.3">
      <c r="A51" t="s">
        <v>0</v>
      </c>
      <c r="B51">
        <v>2128</v>
      </c>
      <c r="C51">
        <f t="shared" si="1"/>
        <v>2.1280000000000001</v>
      </c>
      <c r="D51" t="s">
        <v>6</v>
      </c>
      <c r="E51">
        <f t="shared" si="3"/>
        <v>1.0620000000000001</v>
      </c>
      <c r="F51" t="s">
        <v>1</v>
      </c>
      <c r="G51">
        <v>0.29399999999999998</v>
      </c>
      <c r="H51" t="s">
        <v>2</v>
      </c>
      <c r="I51">
        <f t="shared" si="4"/>
        <v>0.75469800000000031</v>
      </c>
      <c r="J51" t="s">
        <v>5</v>
      </c>
      <c r="K51">
        <f t="shared" si="2"/>
        <v>0.41345739400000014</v>
      </c>
      <c r="L51" t="s">
        <v>8</v>
      </c>
      <c r="M51" s="1">
        <f t="shared" si="0"/>
        <v>16.277858947519405</v>
      </c>
    </row>
    <row r="52" spans="1:13" x14ac:dyDescent="0.3">
      <c r="A52" t="s">
        <v>0</v>
      </c>
      <c r="B52">
        <v>2150</v>
      </c>
      <c r="C52">
        <f t="shared" si="1"/>
        <v>2.15</v>
      </c>
      <c r="D52" t="s">
        <v>6</v>
      </c>
      <c r="E52">
        <f t="shared" si="3"/>
        <v>1.0839999999999999</v>
      </c>
      <c r="F52" t="s">
        <v>1</v>
      </c>
      <c r="G52">
        <v>0.14699999999999999</v>
      </c>
      <c r="H52" t="s">
        <v>2</v>
      </c>
      <c r="I52">
        <f t="shared" si="4"/>
        <v>0.75038600000000022</v>
      </c>
      <c r="J52" t="s">
        <v>5</v>
      </c>
      <c r="K52">
        <f t="shared" si="2"/>
        <v>0.43001331799999998</v>
      </c>
      <c r="L52" t="s">
        <v>8</v>
      </c>
      <c r="M52" s="1">
        <f t="shared" si="0"/>
        <v>16.929667330991798</v>
      </c>
    </row>
    <row r="53" spans="1:13" x14ac:dyDescent="0.3">
      <c r="A53" t="s">
        <v>0</v>
      </c>
      <c r="B53">
        <v>2172</v>
      </c>
      <c r="C53">
        <f t="shared" si="1"/>
        <v>2.1720000000000002</v>
      </c>
      <c r="D53" t="s">
        <v>6</v>
      </c>
      <c r="E53">
        <f t="shared" si="3"/>
        <v>1.1060000000000001</v>
      </c>
      <c r="F53" t="s">
        <v>1</v>
      </c>
      <c r="G53">
        <v>-0.53900000000000003</v>
      </c>
      <c r="H53" t="s">
        <v>2</v>
      </c>
      <c r="I53">
        <f t="shared" si="4"/>
        <v>0.74421200000000021</v>
      </c>
      <c r="J53" t="s">
        <v>5</v>
      </c>
      <c r="K53">
        <f t="shared" si="2"/>
        <v>0.44645389600000018</v>
      </c>
      <c r="L53" t="s">
        <v>8</v>
      </c>
      <c r="M53" s="1">
        <f t="shared" si="0"/>
        <v>17.576934530909607</v>
      </c>
    </row>
    <row r="54" spans="1:13" x14ac:dyDescent="0.3">
      <c r="A54" t="s">
        <v>0</v>
      </c>
      <c r="B54">
        <v>2193</v>
      </c>
      <c r="C54">
        <f t="shared" si="1"/>
        <v>2.1930000000000001</v>
      </c>
      <c r="D54" t="s">
        <v>6</v>
      </c>
      <c r="E54">
        <f t="shared" si="3"/>
        <v>1.127</v>
      </c>
      <c r="F54" t="s">
        <v>1</v>
      </c>
      <c r="G54">
        <v>-4.9000000000000002E-2</v>
      </c>
      <c r="H54" t="s">
        <v>2</v>
      </c>
      <c r="I54">
        <f t="shared" si="4"/>
        <v>0.74678450000000018</v>
      </c>
      <c r="J54" t="s">
        <v>5</v>
      </c>
      <c r="K54">
        <f t="shared" si="2"/>
        <v>0.46210935925000013</v>
      </c>
      <c r="L54" t="s">
        <v>8</v>
      </c>
      <c r="M54" s="1">
        <f t="shared" si="0"/>
        <v>18.193291684608429</v>
      </c>
    </row>
    <row r="55" spans="1:13" x14ac:dyDescent="0.3">
      <c r="A55" t="s">
        <v>0</v>
      </c>
      <c r="B55">
        <v>2214</v>
      </c>
      <c r="C55">
        <f t="shared" si="1"/>
        <v>2.214</v>
      </c>
      <c r="D55" t="s">
        <v>6</v>
      </c>
      <c r="E55">
        <f t="shared" si="3"/>
        <v>1.1479999999999999</v>
      </c>
      <c r="F55" t="s">
        <v>1</v>
      </c>
      <c r="G55">
        <v>0.29399999999999998</v>
      </c>
      <c r="H55" t="s">
        <v>2</v>
      </c>
      <c r="I55">
        <f t="shared" si="4"/>
        <v>0.75266450000000018</v>
      </c>
      <c r="J55" t="s">
        <v>5</v>
      </c>
      <c r="K55">
        <f t="shared" si="2"/>
        <v>0.47785357375000004</v>
      </c>
      <c r="L55" t="s">
        <v>8</v>
      </c>
      <c r="M55" s="1">
        <f t="shared" si="0"/>
        <v>18.813142983894878</v>
      </c>
    </row>
    <row r="56" spans="1:13" x14ac:dyDescent="0.3">
      <c r="A56" t="s">
        <v>0</v>
      </c>
      <c r="B56">
        <v>2234</v>
      </c>
      <c r="C56">
        <f t="shared" si="1"/>
        <v>2.234</v>
      </c>
      <c r="D56" t="s">
        <v>6</v>
      </c>
      <c r="E56">
        <f t="shared" si="3"/>
        <v>1.1679999999999999</v>
      </c>
      <c r="F56" t="s">
        <v>1</v>
      </c>
      <c r="G56">
        <v>0.29399999999999998</v>
      </c>
      <c r="H56" t="s">
        <v>2</v>
      </c>
      <c r="I56">
        <f t="shared" si="4"/>
        <v>0.75751550000000012</v>
      </c>
      <c r="J56" t="s">
        <v>5</v>
      </c>
      <c r="K56">
        <f t="shared" si="2"/>
        <v>0.49295537375000004</v>
      </c>
      <c r="L56" t="s">
        <v>8</v>
      </c>
      <c r="M56" s="1">
        <f t="shared" si="0"/>
        <v>19.407702360074875</v>
      </c>
    </row>
    <row r="57" spans="1:13" x14ac:dyDescent="0.3">
      <c r="A57" t="s">
        <v>0</v>
      </c>
      <c r="B57">
        <v>2256</v>
      </c>
      <c r="C57">
        <f t="shared" si="1"/>
        <v>2.2559999999999998</v>
      </c>
      <c r="D57" t="s">
        <v>6</v>
      </c>
      <c r="E57">
        <f t="shared" si="3"/>
        <v>1.1899999999999997</v>
      </c>
      <c r="F57" t="s">
        <v>1</v>
      </c>
      <c r="G57">
        <v>0.14699999999999999</v>
      </c>
      <c r="H57" t="s">
        <v>2</v>
      </c>
      <c r="I57">
        <f t="shared" si="4"/>
        <v>0.75545750000000012</v>
      </c>
      <c r="J57" t="s">
        <v>5</v>
      </c>
      <c r="K57">
        <f t="shared" si="2"/>
        <v>0.50959807674999991</v>
      </c>
      <c r="L57" t="s">
        <v>8</v>
      </c>
      <c r="M57" s="1">
        <f t="shared" si="0"/>
        <v>20.062927241455171</v>
      </c>
    </row>
    <row r="58" spans="1:13" x14ac:dyDescent="0.3">
      <c r="A58" t="s">
        <v>0</v>
      </c>
      <c r="B58">
        <v>2277</v>
      </c>
      <c r="C58">
        <f t="shared" si="1"/>
        <v>2.2770000000000001</v>
      </c>
      <c r="D58" t="s">
        <v>6</v>
      </c>
      <c r="E58">
        <f t="shared" si="3"/>
        <v>1.2110000000000001</v>
      </c>
      <c r="F58" t="s">
        <v>1</v>
      </c>
      <c r="G58">
        <v>-0.34300000000000003</v>
      </c>
      <c r="H58" t="s">
        <v>2</v>
      </c>
      <c r="I58">
        <f t="shared" si="4"/>
        <v>0.75251750000000006</v>
      </c>
      <c r="J58" t="s">
        <v>5</v>
      </c>
      <c r="K58">
        <f t="shared" si="2"/>
        <v>0.52543181425000018</v>
      </c>
      <c r="L58" t="s">
        <v>8</v>
      </c>
      <c r="M58" s="1">
        <f t="shared" si="0"/>
        <v>20.686303070203934</v>
      </c>
    </row>
    <row r="59" spans="1:13" x14ac:dyDescent="0.3">
      <c r="A59" t="s">
        <v>0</v>
      </c>
      <c r="B59">
        <v>2297</v>
      </c>
      <c r="C59">
        <f t="shared" si="1"/>
        <v>2.2970000000000002</v>
      </c>
      <c r="D59" t="s">
        <v>6</v>
      </c>
      <c r="E59">
        <f t="shared" si="3"/>
        <v>1.2310000000000001</v>
      </c>
      <c r="F59" t="s">
        <v>1</v>
      </c>
      <c r="G59">
        <v>4.9000000000000002E-2</v>
      </c>
      <c r="H59" t="s">
        <v>2</v>
      </c>
      <c r="I59">
        <f t="shared" si="4"/>
        <v>0.7441875</v>
      </c>
      <c r="J59" t="s">
        <v>5</v>
      </c>
      <c r="K59">
        <f t="shared" si="2"/>
        <v>0.54039886425000017</v>
      </c>
      <c r="L59" t="s">
        <v>8</v>
      </c>
      <c r="M59" s="1">
        <f t="shared" si="0"/>
        <v>21.275557325408933</v>
      </c>
    </row>
    <row r="60" spans="1:13" x14ac:dyDescent="0.3">
      <c r="A60" t="s">
        <v>0</v>
      </c>
      <c r="B60">
        <v>2317</v>
      </c>
      <c r="C60">
        <f t="shared" si="1"/>
        <v>2.3170000000000002</v>
      </c>
      <c r="D60" t="s">
        <v>6</v>
      </c>
      <c r="E60">
        <f t="shared" si="3"/>
        <v>1.2510000000000001</v>
      </c>
      <c r="F60" t="s">
        <v>1</v>
      </c>
      <c r="G60">
        <v>-0.88200000000000001</v>
      </c>
      <c r="H60" t="s">
        <v>2</v>
      </c>
      <c r="I60">
        <f t="shared" si="4"/>
        <v>0.74026749999999997</v>
      </c>
      <c r="J60" t="s">
        <v>5</v>
      </c>
      <c r="K60">
        <f t="shared" si="2"/>
        <v>0.55524341425000023</v>
      </c>
      <c r="L60" t="s">
        <v>8</v>
      </c>
      <c r="M60" s="1">
        <f t="shared" si="0"/>
        <v>21.859988743363935</v>
      </c>
    </row>
    <row r="61" spans="1:13" x14ac:dyDescent="0.3">
      <c r="A61" t="s">
        <v>0</v>
      </c>
      <c r="B61">
        <v>2337</v>
      </c>
      <c r="C61">
        <f t="shared" si="1"/>
        <v>2.3370000000000002</v>
      </c>
      <c r="D61" t="s">
        <v>6</v>
      </c>
      <c r="E61">
        <f t="shared" si="3"/>
        <v>1.2710000000000001</v>
      </c>
      <c r="F61" t="s">
        <v>1</v>
      </c>
      <c r="G61">
        <v>0.49</v>
      </c>
      <c r="H61" t="s">
        <v>2</v>
      </c>
      <c r="I61">
        <f t="shared" si="4"/>
        <v>0.74404049999999988</v>
      </c>
      <c r="J61" t="s">
        <v>5</v>
      </c>
      <c r="K61">
        <f t="shared" si="2"/>
        <v>0.57008649425000024</v>
      </c>
      <c r="L61" t="s">
        <v>8</v>
      </c>
      <c r="M61" s="1">
        <f t="shared" si="0"/>
        <v>22.444362287271936</v>
      </c>
    </row>
    <row r="62" spans="1:13" x14ac:dyDescent="0.3">
      <c r="A62" t="s">
        <v>0</v>
      </c>
      <c r="B62">
        <v>2359</v>
      </c>
      <c r="C62">
        <f t="shared" si="1"/>
        <v>2.359</v>
      </c>
      <c r="D62" t="s">
        <v>6</v>
      </c>
      <c r="E62">
        <f t="shared" si="3"/>
        <v>1.2929999999999999</v>
      </c>
      <c r="F62" t="s">
        <v>1</v>
      </c>
      <c r="G62">
        <v>-0.14699999999999999</v>
      </c>
      <c r="H62" t="s">
        <v>2</v>
      </c>
      <c r="I62">
        <f t="shared" si="4"/>
        <v>0.74673549999999989</v>
      </c>
      <c r="J62" t="s">
        <v>5</v>
      </c>
      <c r="K62">
        <f t="shared" si="2"/>
        <v>0.58648503025000009</v>
      </c>
      <c r="L62" t="s">
        <v>8</v>
      </c>
      <c r="M62" s="1">
        <f t="shared" si="0"/>
        <v>23.089974289445529</v>
      </c>
    </row>
    <row r="63" spans="1:13" x14ac:dyDescent="0.3">
      <c r="A63" t="s">
        <v>0</v>
      </c>
      <c r="B63">
        <v>2381</v>
      </c>
      <c r="C63">
        <f t="shared" si="1"/>
        <v>2.3809999999999998</v>
      </c>
      <c r="D63" t="s">
        <v>6</v>
      </c>
      <c r="E63">
        <f t="shared" si="3"/>
        <v>1.3149999999999997</v>
      </c>
      <c r="F63" t="s">
        <v>1</v>
      </c>
      <c r="G63">
        <v>0.39200000000000002</v>
      </c>
      <c r="H63" t="s">
        <v>2</v>
      </c>
      <c r="I63">
        <f t="shared" si="4"/>
        <v>0.76319949999999992</v>
      </c>
      <c r="J63" t="s">
        <v>5</v>
      </c>
      <c r="K63">
        <f t="shared" si="2"/>
        <v>0.6030943152499999</v>
      </c>
      <c r="L63" t="s">
        <v>8</v>
      </c>
      <c r="M63" s="1">
        <f t="shared" si="0"/>
        <v>23.743883500824023</v>
      </c>
    </row>
    <row r="64" spans="1:13" x14ac:dyDescent="0.3">
      <c r="A64" t="s">
        <v>0</v>
      </c>
      <c r="B64">
        <v>2405</v>
      </c>
      <c r="C64">
        <f t="shared" si="1"/>
        <v>2.4049999999999998</v>
      </c>
      <c r="D64" t="s">
        <v>6</v>
      </c>
      <c r="E64">
        <f t="shared" si="3"/>
        <v>1.3389999999999997</v>
      </c>
      <c r="F64" t="s">
        <v>1</v>
      </c>
      <c r="G64">
        <v>0.98</v>
      </c>
      <c r="H64" t="s">
        <v>2</v>
      </c>
      <c r="I64">
        <f t="shared" si="4"/>
        <v>0.78426949999999995</v>
      </c>
      <c r="J64" t="s">
        <v>5</v>
      </c>
      <c r="K64">
        <f t="shared" si="2"/>
        <v>0.62166394324999996</v>
      </c>
      <c r="L64" t="s">
        <v>8</v>
      </c>
      <c r="M64" s="1">
        <f t="shared" si="0"/>
        <v>24.474971612146824</v>
      </c>
    </row>
    <row r="65" spans="1:13" x14ac:dyDescent="0.3">
      <c r="A65" t="s">
        <v>0</v>
      </c>
      <c r="B65">
        <v>2425</v>
      </c>
      <c r="C65">
        <f t="shared" si="1"/>
        <v>2.4249999999999998</v>
      </c>
      <c r="D65" t="s">
        <v>6</v>
      </c>
      <c r="E65">
        <f t="shared" si="3"/>
        <v>1.3589999999999998</v>
      </c>
      <c r="F65" t="s">
        <v>1</v>
      </c>
      <c r="G65">
        <v>1.127</v>
      </c>
      <c r="H65" t="s">
        <v>2</v>
      </c>
      <c r="I65">
        <f t="shared" si="4"/>
        <v>0.79406949999999998</v>
      </c>
      <c r="J65" t="s">
        <v>5</v>
      </c>
      <c r="K65">
        <f t="shared" si="2"/>
        <v>0.63744733325000003</v>
      </c>
      <c r="L65" t="s">
        <v>8</v>
      </c>
      <c r="M65" s="1">
        <f t="shared" si="0"/>
        <v>25.096365254785827</v>
      </c>
    </row>
    <row r="66" spans="1:13" x14ac:dyDescent="0.3">
      <c r="A66" t="s">
        <v>0</v>
      </c>
      <c r="B66">
        <v>2445</v>
      </c>
      <c r="C66">
        <f t="shared" si="1"/>
        <v>2.4449999999999998</v>
      </c>
      <c r="D66" t="s">
        <v>6</v>
      </c>
      <c r="E66">
        <f t="shared" si="3"/>
        <v>1.3789999999999998</v>
      </c>
      <c r="F66" t="s">
        <v>1</v>
      </c>
      <c r="G66">
        <v>-0.14699999999999999</v>
      </c>
      <c r="H66" t="s">
        <v>2</v>
      </c>
      <c r="I66">
        <f t="shared" si="4"/>
        <v>0.79664200000000007</v>
      </c>
      <c r="J66" t="s">
        <v>5</v>
      </c>
      <c r="K66">
        <f t="shared" si="2"/>
        <v>0.65335444825</v>
      </c>
      <c r="L66" t="s">
        <v>8</v>
      </c>
      <c r="M66" s="1">
        <f t="shared" ref="M66:M122" si="5">K66*39.3701</f>
        <v>25.722629963047325</v>
      </c>
    </row>
    <row r="67" spans="1:13" x14ac:dyDescent="0.3">
      <c r="A67" t="s">
        <v>0</v>
      </c>
      <c r="B67">
        <v>2466</v>
      </c>
      <c r="C67">
        <f t="shared" ref="C67:C122" si="6">B67/1000</f>
        <v>2.4660000000000002</v>
      </c>
      <c r="D67" t="s">
        <v>6</v>
      </c>
      <c r="E67">
        <f t="shared" si="3"/>
        <v>1.4000000000000001</v>
      </c>
      <c r="F67" t="s">
        <v>1</v>
      </c>
      <c r="G67">
        <v>0.39200000000000002</v>
      </c>
      <c r="H67" t="s">
        <v>2</v>
      </c>
      <c r="I67">
        <f t="shared" si="4"/>
        <v>0.78586200000000017</v>
      </c>
      <c r="J67" t="s">
        <v>5</v>
      </c>
      <c r="K67">
        <f t="shared" ref="K67:K122" si="7">(E67-E66)*((I66+I67)/2)+K66</f>
        <v>0.66997074025000025</v>
      </c>
      <c r="L67" t="s">
        <v>8</v>
      </c>
      <c r="M67" s="1">
        <f t="shared" si="5"/>
        <v>26.376815040716536</v>
      </c>
    </row>
    <row r="68" spans="1:13" x14ac:dyDescent="0.3">
      <c r="A68" t="s">
        <v>0</v>
      </c>
      <c r="B68">
        <v>2488</v>
      </c>
      <c r="C68">
        <f t="shared" si="6"/>
        <v>2.488</v>
      </c>
      <c r="D68" t="s">
        <v>6</v>
      </c>
      <c r="E68">
        <f t="shared" ref="E68:E122" si="8">(C68-C67)+E67</f>
        <v>1.4219999999999999</v>
      </c>
      <c r="F68" t="s">
        <v>1</v>
      </c>
      <c r="G68">
        <v>-1.3720000000000001</v>
      </c>
      <c r="H68" t="s">
        <v>2</v>
      </c>
      <c r="I68">
        <f t="shared" ref="I68:I122" si="9">(E69-E68)*((G68+G69)/2)+I67</f>
        <v>0.76785450000000022</v>
      </c>
      <c r="J68" t="s">
        <v>5</v>
      </c>
      <c r="K68">
        <f t="shared" si="7"/>
        <v>0.68706162175000007</v>
      </c>
      <c r="L68" t="s">
        <v>8</v>
      </c>
      <c r="M68" s="1">
        <f t="shared" si="5"/>
        <v>27.04968475445968</v>
      </c>
    </row>
    <row r="69" spans="1:13" x14ac:dyDescent="0.3">
      <c r="A69" t="s">
        <v>0</v>
      </c>
      <c r="B69">
        <v>2509</v>
      </c>
      <c r="C69">
        <f t="shared" si="6"/>
        <v>2.5089999999999999</v>
      </c>
      <c r="D69" t="s">
        <v>6</v>
      </c>
      <c r="E69">
        <f t="shared" si="8"/>
        <v>1.4429999999999998</v>
      </c>
      <c r="F69" t="s">
        <v>1</v>
      </c>
      <c r="G69">
        <v>-0.34300000000000003</v>
      </c>
      <c r="H69" t="s">
        <v>2</v>
      </c>
      <c r="I69">
        <f t="shared" si="9"/>
        <v>0.75168450000000009</v>
      </c>
      <c r="J69" t="s">
        <v>5</v>
      </c>
      <c r="K69">
        <f t="shared" si="7"/>
        <v>0.70301678125</v>
      </c>
      <c r="L69" t="s">
        <v>8</v>
      </c>
      <c r="M69" s="1">
        <f t="shared" si="5"/>
        <v>27.677840979490625</v>
      </c>
    </row>
    <row r="70" spans="1:13" x14ac:dyDescent="0.3">
      <c r="A70" t="s">
        <v>0</v>
      </c>
      <c r="B70">
        <v>2531</v>
      </c>
      <c r="C70">
        <f t="shared" si="6"/>
        <v>2.5310000000000001</v>
      </c>
      <c r="D70" t="s">
        <v>6</v>
      </c>
      <c r="E70">
        <f t="shared" si="8"/>
        <v>1.4650000000000001</v>
      </c>
      <c r="F70" t="s">
        <v>1</v>
      </c>
      <c r="G70">
        <v>-1.127</v>
      </c>
      <c r="H70" t="s">
        <v>2</v>
      </c>
      <c r="I70">
        <f t="shared" si="9"/>
        <v>0.70479150000000057</v>
      </c>
      <c r="J70" t="s">
        <v>5</v>
      </c>
      <c r="K70">
        <f t="shared" si="7"/>
        <v>0.71903801725000016</v>
      </c>
      <c r="L70" t="s">
        <v>8</v>
      </c>
      <c r="M70" s="1">
        <f t="shared" si="5"/>
        <v>28.308598642934232</v>
      </c>
    </row>
    <row r="71" spans="1:13" x14ac:dyDescent="0.3">
      <c r="A71" t="s">
        <v>0</v>
      </c>
      <c r="B71">
        <v>2553</v>
      </c>
      <c r="C71">
        <f t="shared" si="6"/>
        <v>2.5529999999999999</v>
      </c>
      <c r="D71" t="s">
        <v>6</v>
      </c>
      <c r="E71">
        <f t="shared" si="8"/>
        <v>1.4869999999999999</v>
      </c>
      <c r="F71" t="s">
        <v>1</v>
      </c>
      <c r="G71">
        <v>-3.1360000000000001</v>
      </c>
      <c r="H71" t="s">
        <v>2</v>
      </c>
      <c r="I71">
        <f t="shared" si="9"/>
        <v>0.64408050000000083</v>
      </c>
      <c r="J71" t="s">
        <v>5</v>
      </c>
      <c r="K71">
        <f t="shared" si="7"/>
        <v>0.73387560925000006</v>
      </c>
      <c r="L71" t="s">
        <v>8</v>
      </c>
      <c r="M71" s="1">
        <f t="shared" si="5"/>
        <v>28.892756123733427</v>
      </c>
    </row>
    <row r="72" spans="1:13" x14ac:dyDescent="0.3">
      <c r="A72" t="s">
        <v>0</v>
      </c>
      <c r="B72">
        <v>2574</v>
      </c>
      <c r="C72">
        <f t="shared" si="6"/>
        <v>2.5739999999999998</v>
      </c>
      <c r="D72" t="s">
        <v>6</v>
      </c>
      <c r="E72">
        <f t="shared" si="8"/>
        <v>1.5079999999999998</v>
      </c>
      <c r="F72" t="s">
        <v>1</v>
      </c>
      <c r="G72">
        <v>-2.6459999999999999</v>
      </c>
      <c r="H72" t="s">
        <v>2</v>
      </c>
      <c r="I72">
        <f t="shared" si="9"/>
        <v>0.57450050000000075</v>
      </c>
      <c r="J72" t="s">
        <v>5</v>
      </c>
      <c r="K72">
        <f t="shared" si="7"/>
        <v>0.74667070975000005</v>
      </c>
      <c r="L72" t="s">
        <v>8</v>
      </c>
      <c r="M72" s="1">
        <f t="shared" si="5"/>
        <v>29.396500509928476</v>
      </c>
    </row>
    <row r="73" spans="1:13" x14ac:dyDescent="0.3">
      <c r="A73" t="s">
        <v>0</v>
      </c>
      <c r="B73">
        <v>2594</v>
      </c>
      <c r="C73">
        <f t="shared" si="6"/>
        <v>2.5939999999999999</v>
      </c>
      <c r="D73" t="s">
        <v>6</v>
      </c>
      <c r="E73">
        <f t="shared" si="8"/>
        <v>1.5279999999999998</v>
      </c>
      <c r="F73" t="s">
        <v>1</v>
      </c>
      <c r="G73">
        <v>-4.3120000000000003</v>
      </c>
      <c r="H73" t="s">
        <v>2</v>
      </c>
      <c r="I73">
        <f t="shared" si="9"/>
        <v>0.48086149999999916</v>
      </c>
      <c r="J73" t="s">
        <v>5</v>
      </c>
      <c r="K73">
        <f t="shared" si="7"/>
        <v>0.75722432975000009</v>
      </c>
      <c r="L73" t="s">
        <v>8</v>
      </c>
      <c r="M73" s="1">
        <f t="shared" si="5"/>
        <v>29.811997584690481</v>
      </c>
    </row>
    <row r="74" spans="1:13" x14ac:dyDescent="0.3">
      <c r="A74" t="s">
        <v>0</v>
      </c>
      <c r="B74">
        <v>2615</v>
      </c>
      <c r="C74">
        <f t="shared" si="6"/>
        <v>2.6150000000000002</v>
      </c>
      <c r="D74" t="s">
        <v>6</v>
      </c>
      <c r="E74">
        <f t="shared" si="8"/>
        <v>1.5490000000000002</v>
      </c>
      <c r="F74" t="s">
        <v>1</v>
      </c>
      <c r="G74">
        <v>-4.6059999999999999</v>
      </c>
      <c r="H74" t="s">
        <v>2</v>
      </c>
      <c r="I74">
        <f t="shared" si="9"/>
        <v>0.38438050000000001</v>
      </c>
      <c r="J74" t="s">
        <v>5</v>
      </c>
      <c r="K74">
        <f t="shared" si="7"/>
        <v>0.76630937075000027</v>
      </c>
      <c r="L74" t="s">
        <v>8</v>
      </c>
      <c r="M74" s="1">
        <f t="shared" si="5"/>
        <v>30.169676557364586</v>
      </c>
    </row>
    <row r="75" spans="1:13" x14ac:dyDescent="0.3">
      <c r="A75" t="s">
        <v>0</v>
      </c>
      <c r="B75">
        <v>2637</v>
      </c>
      <c r="C75">
        <f t="shared" si="6"/>
        <v>2.637</v>
      </c>
      <c r="D75" t="s">
        <v>6</v>
      </c>
      <c r="E75">
        <f t="shared" si="8"/>
        <v>1.571</v>
      </c>
      <c r="F75" t="s">
        <v>1</v>
      </c>
      <c r="G75">
        <v>-4.165</v>
      </c>
      <c r="H75" t="s">
        <v>2</v>
      </c>
      <c r="I75">
        <f t="shared" si="9"/>
        <v>0.29863049999999997</v>
      </c>
      <c r="J75" t="s">
        <v>5</v>
      </c>
      <c r="K75">
        <f t="shared" si="7"/>
        <v>0.77382249175000017</v>
      </c>
      <c r="L75" t="s">
        <v>8</v>
      </c>
      <c r="M75" s="1">
        <f t="shared" si="5"/>
        <v>30.465468882446682</v>
      </c>
    </row>
    <row r="76" spans="1:13" x14ac:dyDescent="0.3">
      <c r="A76" t="s">
        <v>0</v>
      </c>
      <c r="B76">
        <v>2657</v>
      </c>
      <c r="C76">
        <f t="shared" si="6"/>
        <v>2.657</v>
      </c>
      <c r="D76" t="s">
        <v>6</v>
      </c>
      <c r="E76">
        <f t="shared" si="8"/>
        <v>1.591</v>
      </c>
      <c r="F76" t="s">
        <v>1</v>
      </c>
      <c r="G76">
        <v>-4.41</v>
      </c>
      <c r="H76" t="s">
        <v>2</v>
      </c>
      <c r="I76">
        <f t="shared" si="9"/>
        <v>0.19999350000000088</v>
      </c>
      <c r="J76" t="s">
        <v>5</v>
      </c>
      <c r="K76">
        <f t="shared" si="7"/>
        <v>0.7788087317500002</v>
      </c>
      <c r="L76" t="s">
        <v>8</v>
      </c>
      <c r="M76" s="1">
        <f t="shared" si="5"/>
        <v>30.661777649870682</v>
      </c>
    </row>
    <row r="77" spans="1:13" x14ac:dyDescent="0.3">
      <c r="A77" t="s">
        <v>0</v>
      </c>
      <c r="B77">
        <v>2679</v>
      </c>
      <c r="C77">
        <f t="shared" si="6"/>
        <v>2.6789999999999998</v>
      </c>
      <c r="D77" t="s">
        <v>6</v>
      </c>
      <c r="E77">
        <f t="shared" si="8"/>
        <v>1.6129999999999998</v>
      </c>
      <c r="F77" t="s">
        <v>1</v>
      </c>
      <c r="G77">
        <v>-4.5570000000000004</v>
      </c>
      <c r="H77" t="s">
        <v>2</v>
      </c>
      <c r="I77">
        <f t="shared" si="9"/>
        <v>0.1008174999999998</v>
      </c>
      <c r="J77" t="s">
        <v>5</v>
      </c>
      <c r="K77">
        <f t="shared" si="7"/>
        <v>0.78211765275000023</v>
      </c>
      <c r="L77" t="s">
        <v>8</v>
      </c>
      <c r="M77" s="1">
        <f t="shared" si="5"/>
        <v>30.792050200532785</v>
      </c>
    </row>
    <row r="78" spans="1:13" x14ac:dyDescent="0.3">
      <c r="A78" t="s">
        <v>0</v>
      </c>
      <c r="B78">
        <v>2701</v>
      </c>
      <c r="C78">
        <f t="shared" si="6"/>
        <v>2.7010000000000001</v>
      </c>
      <c r="D78" t="s">
        <v>6</v>
      </c>
      <c r="E78">
        <f t="shared" si="8"/>
        <v>1.635</v>
      </c>
      <c r="F78" t="s">
        <v>1</v>
      </c>
      <c r="G78">
        <v>-4.4589999999999996</v>
      </c>
      <c r="H78" t="s">
        <v>2</v>
      </c>
      <c r="I78">
        <f t="shared" si="9"/>
        <v>-1.4945000000002873E-3</v>
      </c>
      <c r="J78" t="s">
        <v>5</v>
      </c>
      <c r="K78">
        <f t="shared" si="7"/>
        <v>0.78321020575000022</v>
      </c>
      <c r="L78" t="s">
        <v>8</v>
      </c>
      <c r="M78" s="1">
        <f t="shared" si="5"/>
        <v>30.835064121398084</v>
      </c>
    </row>
    <row r="79" spans="1:13" x14ac:dyDescent="0.3">
      <c r="A79" t="s">
        <v>0</v>
      </c>
      <c r="B79">
        <v>2725</v>
      </c>
      <c r="C79">
        <f t="shared" si="6"/>
        <v>2.7250000000000001</v>
      </c>
      <c r="D79" t="s">
        <v>6</v>
      </c>
      <c r="E79">
        <f t="shared" si="8"/>
        <v>1.659</v>
      </c>
      <c r="F79" t="s">
        <v>1</v>
      </c>
      <c r="G79">
        <v>-4.0670000000000002</v>
      </c>
      <c r="H79" t="s">
        <v>2</v>
      </c>
      <c r="I79">
        <f t="shared" si="9"/>
        <v>-5.3434500000000336E-2</v>
      </c>
      <c r="J79" t="s">
        <v>5</v>
      </c>
      <c r="K79">
        <f t="shared" si="7"/>
        <v>0.78255105775000022</v>
      </c>
      <c r="L79" t="s">
        <v>8</v>
      </c>
      <c r="M79" s="1">
        <f t="shared" si="5"/>
        <v>30.809113398723284</v>
      </c>
    </row>
    <row r="80" spans="1:13" x14ac:dyDescent="0.3">
      <c r="A80" t="s">
        <v>0</v>
      </c>
      <c r="B80">
        <v>2745</v>
      </c>
      <c r="C80">
        <f t="shared" si="6"/>
        <v>2.7450000000000001</v>
      </c>
      <c r="D80" t="s">
        <v>6</v>
      </c>
      <c r="E80">
        <f t="shared" si="8"/>
        <v>1.679</v>
      </c>
      <c r="F80" t="s">
        <v>1</v>
      </c>
      <c r="G80">
        <v>-1.127</v>
      </c>
      <c r="H80" t="s">
        <v>2</v>
      </c>
      <c r="I80">
        <f t="shared" si="9"/>
        <v>-7.0143500000000192E-2</v>
      </c>
      <c r="J80" t="s">
        <v>5</v>
      </c>
      <c r="K80">
        <f t="shared" si="7"/>
        <v>0.7813152777500002</v>
      </c>
      <c r="L80" t="s">
        <v>8</v>
      </c>
      <c r="M80" s="1">
        <f t="shared" si="5"/>
        <v>30.760460616545284</v>
      </c>
    </row>
    <row r="81" spans="1:14" x14ac:dyDescent="0.3">
      <c r="A81" t="s">
        <v>0</v>
      </c>
      <c r="B81">
        <v>2767</v>
      </c>
      <c r="C81">
        <f t="shared" si="6"/>
        <v>2.7669999999999999</v>
      </c>
      <c r="D81" t="s">
        <v>6</v>
      </c>
      <c r="E81">
        <f t="shared" si="8"/>
        <v>1.7009999999999998</v>
      </c>
      <c r="F81" t="s">
        <v>1</v>
      </c>
      <c r="G81">
        <v>-0.39200000000000002</v>
      </c>
      <c r="H81" t="s">
        <v>2</v>
      </c>
      <c r="I81">
        <f t="shared" si="9"/>
        <v>-7.1834000000000203E-2</v>
      </c>
      <c r="J81" t="s">
        <v>5</v>
      </c>
      <c r="K81">
        <f t="shared" si="7"/>
        <v>0.77975352525000019</v>
      </c>
      <c r="L81" t="s">
        <v>8</v>
      </c>
      <c r="M81" s="1">
        <f t="shared" si="5"/>
        <v>30.698974264445035</v>
      </c>
      <c r="N81" t="s">
        <v>12</v>
      </c>
    </row>
    <row r="82" spans="1:14" x14ac:dyDescent="0.3">
      <c r="A82" t="s">
        <v>0</v>
      </c>
      <c r="B82">
        <v>2790</v>
      </c>
      <c r="C82">
        <f t="shared" si="6"/>
        <v>2.79</v>
      </c>
      <c r="D82" t="s">
        <v>6</v>
      </c>
      <c r="E82">
        <f t="shared" si="8"/>
        <v>1.724</v>
      </c>
      <c r="F82" t="s">
        <v>1</v>
      </c>
      <c r="G82">
        <v>0.245</v>
      </c>
      <c r="H82" t="s">
        <v>2</v>
      </c>
      <c r="I82">
        <f t="shared" si="9"/>
        <v>-6.4116500000000243E-2</v>
      </c>
      <c r="J82" t="s">
        <v>5</v>
      </c>
      <c r="K82">
        <f t="shared" si="7"/>
        <v>0.77819009450000021</v>
      </c>
      <c r="L82" t="s">
        <v>8</v>
      </c>
      <c r="M82" s="2">
        <f t="shared" si="5"/>
        <v>30.63742183947446</v>
      </c>
    </row>
    <row r="83" spans="1:14" x14ac:dyDescent="0.3">
      <c r="A83" t="s">
        <v>0</v>
      </c>
      <c r="B83">
        <v>2811</v>
      </c>
      <c r="C83">
        <f t="shared" si="6"/>
        <v>2.8109999999999999</v>
      </c>
      <c r="D83" t="s">
        <v>6</v>
      </c>
      <c r="E83">
        <f t="shared" si="8"/>
        <v>1.7449999999999999</v>
      </c>
      <c r="F83" t="s">
        <v>1</v>
      </c>
      <c r="G83">
        <v>0.49</v>
      </c>
      <c r="H83" t="s">
        <v>2</v>
      </c>
      <c r="I83">
        <f t="shared" si="9"/>
        <v>-4.8681500000000308E-2</v>
      </c>
      <c r="J83" t="s">
        <v>5</v>
      </c>
      <c r="K83">
        <f t="shared" si="7"/>
        <v>0.77700571550000019</v>
      </c>
      <c r="L83" t="s">
        <v>8</v>
      </c>
      <c r="M83" s="2">
        <f t="shared" si="5"/>
        <v>30.590792719806558</v>
      </c>
    </row>
    <row r="84" spans="1:14" x14ac:dyDescent="0.3">
      <c r="A84" t="s">
        <v>0</v>
      </c>
      <c r="B84">
        <v>2832</v>
      </c>
      <c r="C84">
        <f t="shared" si="6"/>
        <v>2.8319999999999999</v>
      </c>
      <c r="D84" t="s">
        <v>6</v>
      </c>
      <c r="E84">
        <f t="shared" si="8"/>
        <v>1.7659999999999998</v>
      </c>
      <c r="F84" t="s">
        <v>1</v>
      </c>
      <c r="G84">
        <v>0.98</v>
      </c>
      <c r="H84" t="s">
        <v>2</v>
      </c>
      <c r="I84">
        <f t="shared" si="9"/>
        <v>-3.0894500000000113E-2</v>
      </c>
      <c r="J84" t="s">
        <v>5</v>
      </c>
      <c r="K84">
        <f t="shared" si="7"/>
        <v>0.77617016750000023</v>
      </c>
      <c r="L84" t="s">
        <v>8</v>
      </c>
      <c r="M84" s="2">
        <f t="shared" si="5"/>
        <v>30.557897111491759</v>
      </c>
    </row>
    <row r="85" spans="1:14" x14ac:dyDescent="0.3">
      <c r="A85" t="s">
        <v>0</v>
      </c>
      <c r="B85">
        <v>2854</v>
      </c>
      <c r="C85">
        <f t="shared" si="6"/>
        <v>2.8540000000000001</v>
      </c>
      <c r="D85" t="s">
        <v>6</v>
      </c>
      <c r="E85">
        <f t="shared" si="8"/>
        <v>1.788</v>
      </c>
      <c r="F85" t="s">
        <v>1</v>
      </c>
      <c r="G85">
        <v>0.63700000000000001</v>
      </c>
      <c r="H85" t="s">
        <v>2</v>
      </c>
      <c r="I85">
        <f t="shared" si="9"/>
        <v>-1.903650000000022E-2</v>
      </c>
      <c r="J85" t="s">
        <v>5</v>
      </c>
      <c r="K85">
        <f t="shared" si="7"/>
        <v>0.77562092650000025</v>
      </c>
      <c r="L85" t="s">
        <v>8</v>
      </c>
      <c r="M85" s="2">
        <f t="shared" si="5"/>
        <v>30.536273438397661</v>
      </c>
    </row>
    <row r="86" spans="1:14" x14ac:dyDescent="0.3">
      <c r="A86" t="s">
        <v>0</v>
      </c>
      <c r="B86">
        <v>2876</v>
      </c>
      <c r="C86">
        <f t="shared" si="6"/>
        <v>2.8759999999999999</v>
      </c>
      <c r="D86" t="s">
        <v>6</v>
      </c>
      <c r="E86">
        <f t="shared" si="8"/>
        <v>1.8099999999999998</v>
      </c>
      <c r="F86" t="s">
        <v>1</v>
      </c>
      <c r="G86">
        <v>0.441</v>
      </c>
      <c r="H86" t="s">
        <v>2</v>
      </c>
      <c r="I86">
        <f t="shared" si="9"/>
        <v>-1.4920500000000239E-2</v>
      </c>
      <c r="J86" t="s">
        <v>5</v>
      </c>
      <c r="K86">
        <f t="shared" si="7"/>
        <v>0.77524739950000021</v>
      </c>
      <c r="L86" t="s">
        <v>8</v>
      </c>
      <c r="M86" s="2">
        <f t="shared" si="5"/>
        <v>30.521567643054958</v>
      </c>
    </row>
    <row r="87" spans="1:14" x14ac:dyDescent="0.3">
      <c r="A87" t="s">
        <v>0</v>
      </c>
      <c r="B87">
        <v>2897</v>
      </c>
      <c r="C87">
        <f t="shared" si="6"/>
        <v>2.8969999999999998</v>
      </c>
      <c r="D87" t="s">
        <v>6</v>
      </c>
      <c r="E87">
        <f t="shared" si="8"/>
        <v>1.8309999999999997</v>
      </c>
      <c r="F87" t="s">
        <v>1</v>
      </c>
      <c r="G87">
        <v>-4.9000000000000002E-2</v>
      </c>
      <c r="H87" t="s">
        <v>2</v>
      </c>
      <c r="I87">
        <f t="shared" si="9"/>
        <v>-2.0555500000000271E-2</v>
      </c>
      <c r="J87" t="s">
        <v>5</v>
      </c>
      <c r="K87">
        <f t="shared" si="7"/>
        <v>0.77487490150000016</v>
      </c>
      <c r="L87" t="s">
        <v>8</v>
      </c>
      <c r="M87" s="2">
        <f t="shared" si="5"/>
        <v>30.506902359545158</v>
      </c>
    </row>
    <row r="88" spans="1:14" x14ac:dyDescent="0.3">
      <c r="A88" t="s">
        <v>0</v>
      </c>
      <c r="B88">
        <v>2920</v>
      </c>
      <c r="C88">
        <f t="shared" si="6"/>
        <v>2.92</v>
      </c>
      <c r="D88" t="s">
        <v>6</v>
      </c>
      <c r="E88">
        <f t="shared" si="8"/>
        <v>1.8539999999999999</v>
      </c>
      <c r="F88" t="s">
        <v>1</v>
      </c>
      <c r="G88">
        <v>-0.441</v>
      </c>
      <c r="H88" t="s">
        <v>2</v>
      </c>
      <c r="I88">
        <f t="shared" si="9"/>
        <v>-3.1874500000000222E-2</v>
      </c>
      <c r="J88" t="s">
        <v>5</v>
      </c>
      <c r="K88">
        <f t="shared" si="7"/>
        <v>0.77427195650000014</v>
      </c>
      <c r="L88" t="s">
        <v>8</v>
      </c>
      <c r="M88" s="2">
        <f t="shared" si="5"/>
        <v>30.483164354600657</v>
      </c>
    </row>
    <row r="89" spans="1:14" x14ac:dyDescent="0.3">
      <c r="A89" t="s">
        <v>0</v>
      </c>
      <c r="B89">
        <v>2941</v>
      </c>
      <c r="C89">
        <f t="shared" si="6"/>
        <v>2.9409999999999998</v>
      </c>
      <c r="D89" t="s">
        <v>6</v>
      </c>
      <c r="E89">
        <f t="shared" si="8"/>
        <v>1.8749999999999998</v>
      </c>
      <c r="F89" t="s">
        <v>1</v>
      </c>
      <c r="G89">
        <v>-0.63700000000000001</v>
      </c>
      <c r="H89" t="s">
        <v>2</v>
      </c>
      <c r="I89">
        <f t="shared" si="9"/>
        <v>-4.216450000000023E-2</v>
      </c>
      <c r="J89" t="s">
        <v>5</v>
      </c>
      <c r="K89">
        <f t="shared" si="7"/>
        <v>0.77349454700000009</v>
      </c>
      <c r="L89" t="s">
        <v>8</v>
      </c>
      <c r="M89" s="2">
        <f t="shared" si="5"/>
        <v>30.452557664844704</v>
      </c>
    </row>
    <row r="90" spans="1:14" x14ac:dyDescent="0.3">
      <c r="A90" t="s">
        <v>0</v>
      </c>
      <c r="B90">
        <v>2961</v>
      </c>
      <c r="C90">
        <f t="shared" si="6"/>
        <v>2.9609999999999999</v>
      </c>
      <c r="D90" t="s">
        <v>6</v>
      </c>
      <c r="E90">
        <f t="shared" si="8"/>
        <v>1.8949999999999998</v>
      </c>
      <c r="F90" t="s">
        <v>1</v>
      </c>
      <c r="G90">
        <v>-0.39200000000000002</v>
      </c>
      <c r="H90" t="s">
        <v>2</v>
      </c>
      <c r="I90">
        <f t="shared" si="9"/>
        <v>-4.7824000000000325E-2</v>
      </c>
      <c r="J90" t="s">
        <v>5</v>
      </c>
      <c r="K90">
        <f t="shared" si="7"/>
        <v>0.77259466200000004</v>
      </c>
      <c r="L90" t="s">
        <v>8</v>
      </c>
      <c r="M90" s="2">
        <f t="shared" si="5"/>
        <v>30.417129102406204</v>
      </c>
    </row>
    <row r="91" spans="1:14" x14ac:dyDescent="0.3">
      <c r="A91" t="s">
        <v>0</v>
      </c>
      <c r="B91">
        <v>2982</v>
      </c>
      <c r="C91">
        <f t="shared" si="6"/>
        <v>2.9820000000000002</v>
      </c>
      <c r="D91" t="s">
        <v>6</v>
      </c>
      <c r="E91">
        <f t="shared" si="8"/>
        <v>1.9160000000000001</v>
      </c>
      <c r="F91" t="s">
        <v>1</v>
      </c>
      <c r="G91">
        <v>-0.14699999999999999</v>
      </c>
      <c r="H91" t="s">
        <v>2</v>
      </c>
      <c r="I91">
        <f t="shared" si="9"/>
        <v>-4.8951000000000307E-2</v>
      </c>
      <c r="J91" t="s">
        <v>5</v>
      </c>
      <c r="K91">
        <f t="shared" si="7"/>
        <v>0.77157852449999997</v>
      </c>
      <c r="L91" t="s">
        <v>8</v>
      </c>
      <c r="M91" s="2">
        <f t="shared" si="5"/>
        <v>30.37712366741745</v>
      </c>
    </row>
    <row r="92" spans="1:14" x14ac:dyDescent="0.3">
      <c r="A92" t="s">
        <v>0</v>
      </c>
      <c r="B92">
        <v>3005</v>
      </c>
      <c r="C92">
        <f t="shared" si="6"/>
        <v>3.0049999999999999</v>
      </c>
      <c r="D92" t="s">
        <v>6</v>
      </c>
      <c r="E92">
        <f t="shared" si="8"/>
        <v>1.9389999999999998</v>
      </c>
      <c r="F92" t="s">
        <v>1</v>
      </c>
      <c r="G92">
        <v>4.9000000000000002E-2</v>
      </c>
      <c r="H92" t="s">
        <v>2</v>
      </c>
      <c r="I92">
        <f t="shared" si="9"/>
        <v>-4.6256000000000276E-2</v>
      </c>
      <c r="J92" t="s">
        <v>5</v>
      </c>
      <c r="K92">
        <f t="shared" si="7"/>
        <v>0.77048364400000002</v>
      </c>
      <c r="L92" t="s">
        <v>8</v>
      </c>
      <c r="M92" s="2">
        <f t="shared" si="5"/>
        <v>30.334018112644401</v>
      </c>
    </row>
    <row r="93" spans="1:14" x14ac:dyDescent="0.3">
      <c r="A93" t="s">
        <v>0</v>
      </c>
      <c r="B93">
        <v>3027</v>
      </c>
      <c r="C93">
        <f t="shared" si="6"/>
        <v>3.0270000000000001</v>
      </c>
      <c r="D93" t="s">
        <v>6</v>
      </c>
      <c r="E93">
        <f t="shared" si="8"/>
        <v>1.9610000000000001</v>
      </c>
      <c r="F93" t="s">
        <v>1</v>
      </c>
      <c r="G93">
        <v>0.19600000000000001</v>
      </c>
      <c r="H93" t="s">
        <v>2</v>
      </c>
      <c r="I93">
        <f t="shared" si="9"/>
        <v>-4.1625500000000294E-2</v>
      </c>
      <c r="J93" t="s">
        <v>5</v>
      </c>
      <c r="K93">
        <f t="shared" si="7"/>
        <v>0.76951694749999999</v>
      </c>
      <c r="L93" t="s">
        <v>8</v>
      </c>
      <c r="M93" s="2">
        <f t="shared" si="5"/>
        <v>30.295959174769749</v>
      </c>
    </row>
    <row r="94" spans="1:14" x14ac:dyDescent="0.3">
      <c r="A94" t="s">
        <v>0</v>
      </c>
      <c r="B94">
        <v>3048</v>
      </c>
      <c r="C94">
        <f t="shared" si="6"/>
        <v>3.048</v>
      </c>
      <c r="D94" t="s">
        <v>6</v>
      </c>
      <c r="E94">
        <f t="shared" si="8"/>
        <v>1.982</v>
      </c>
      <c r="F94" t="s">
        <v>1</v>
      </c>
      <c r="G94">
        <v>0.245</v>
      </c>
      <c r="H94" t="s">
        <v>2</v>
      </c>
      <c r="I94">
        <f t="shared" si="9"/>
        <v>-3.9175500000000321E-2</v>
      </c>
      <c r="J94" t="s">
        <v>5</v>
      </c>
      <c r="K94">
        <f t="shared" si="7"/>
        <v>0.76866853700000004</v>
      </c>
      <c r="L94" t="s">
        <v>8</v>
      </c>
      <c r="M94" s="2">
        <f t="shared" si="5"/>
        <v>30.262557168543701</v>
      </c>
    </row>
    <row r="95" spans="1:14" x14ac:dyDescent="0.3">
      <c r="A95" t="s">
        <v>0</v>
      </c>
      <c r="B95">
        <v>3068</v>
      </c>
      <c r="C95">
        <f t="shared" si="6"/>
        <v>3.0680000000000001</v>
      </c>
      <c r="D95" t="s">
        <v>6</v>
      </c>
      <c r="E95">
        <f t="shared" si="8"/>
        <v>2.0019999999999998</v>
      </c>
      <c r="F95" t="s">
        <v>1</v>
      </c>
      <c r="G95">
        <v>0</v>
      </c>
      <c r="H95" t="s">
        <v>2</v>
      </c>
      <c r="I95">
        <f t="shared" si="9"/>
        <v>-4.1625500000000322E-2</v>
      </c>
      <c r="J95" t="s">
        <v>5</v>
      </c>
      <c r="K95">
        <f t="shared" si="7"/>
        <v>0.76786052700000007</v>
      </c>
      <c r="L95" t="s">
        <v>8</v>
      </c>
      <c r="M95" s="2">
        <f t="shared" si="5"/>
        <v>30.230745734042703</v>
      </c>
    </row>
    <row r="96" spans="1:14" x14ac:dyDescent="0.3">
      <c r="A96" t="s">
        <v>0</v>
      </c>
      <c r="B96">
        <v>3088</v>
      </c>
      <c r="C96">
        <f t="shared" si="6"/>
        <v>3.0880000000000001</v>
      </c>
      <c r="D96" t="s">
        <v>6</v>
      </c>
      <c r="E96">
        <f t="shared" si="8"/>
        <v>2.0219999999999998</v>
      </c>
      <c r="F96" t="s">
        <v>1</v>
      </c>
      <c r="G96">
        <v>-0.245</v>
      </c>
      <c r="H96" t="s">
        <v>2</v>
      </c>
      <c r="I96">
        <f t="shared" si="9"/>
        <v>-4.6035500000000326E-2</v>
      </c>
      <c r="J96" t="s">
        <v>5</v>
      </c>
      <c r="K96">
        <f t="shared" si="7"/>
        <v>0.76698391700000002</v>
      </c>
      <c r="L96" t="s">
        <v>8</v>
      </c>
      <c r="M96" s="2">
        <f t="shared" si="5"/>
        <v>30.196233510681701</v>
      </c>
    </row>
    <row r="97" spans="1:13" x14ac:dyDescent="0.3">
      <c r="A97" t="s">
        <v>0</v>
      </c>
      <c r="B97">
        <v>3108</v>
      </c>
      <c r="C97">
        <f t="shared" si="6"/>
        <v>3.1080000000000001</v>
      </c>
      <c r="D97" t="s">
        <v>6</v>
      </c>
      <c r="E97">
        <f t="shared" si="8"/>
        <v>2.0419999999999998</v>
      </c>
      <c r="F97" t="s">
        <v>1</v>
      </c>
      <c r="G97">
        <v>-0.19600000000000001</v>
      </c>
      <c r="H97" t="s">
        <v>2</v>
      </c>
      <c r="I97">
        <f t="shared" si="9"/>
        <v>-4.8853000000000285E-2</v>
      </c>
      <c r="J97" t="s">
        <v>5</v>
      </c>
      <c r="K97">
        <f t="shared" si="7"/>
        <v>0.766035032</v>
      </c>
      <c r="L97" t="s">
        <v>8</v>
      </c>
      <c r="M97" s="2">
        <f t="shared" si="5"/>
        <v>30.158875813343201</v>
      </c>
    </row>
    <row r="98" spans="1:13" x14ac:dyDescent="0.3">
      <c r="A98" t="s">
        <v>0</v>
      </c>
      <c r="B98">
        <v>3131</v>
      </c>
      <c r="C98">
        <f t="shared" si="6"/>
        <v>3.1309999999999998</v>
      </c>
      <c r="D98" t="s">
        <v>6</v>
      </c>
      <c r="E98">
        <f t="shared" si="8"/>
        <v>2.0649999999999995</v>
      </c>
      <c r="F98" t="s">
        <v>1</v>
      </c>
      <c r="G98">
        <v>-4.9000000000000002E-2</v>
      </c>
      <c r="H98" t="s">
        <v>2</v>
      </c>
      <c r="I98">
        <f t="shared" si="9"/>
        <v>-4.9343000000000282E-2</v>
      </c>
      <c r="J98" t="s">
        <v>5</v>
      </c>
      <c r="K98">
        <f t="shared" si="7"/>
        <v>0.76490577800000004</v>
      </c>
      <c r="L98" t="s">
        <v>8</v>
      </c>
      <c r="M98" s="2">
        <f t="shared" si="5"/>
        <v>30.114416970437802</v>
      </c>
    </row>
    <row r="99" spans="1:13" x14ac:dyDescent="0.3">
      <c r="A99" t="s">
        <v>0</v>
      </c>
      <c r="B99">
        <v>3151</v>
      </c>
      <c r="C99">
        <f t="shared" si="6"/>
        <v>3.1509999999999998</v>
      </c>
      <c r="D99" t="s">
        <v>6</v>
      </c>
      <c r="E99">
        <f t="shared" si="8"/>
        <v>2.0849999999999995</v>
      </c>
      <c r="F99" t="s">
        <v>1</v>
      </c>
      <c r="G99">
        <v>0</v>
      </c>
      <c r="H99" t="s">
        <v>2</v>
      </c>
      <c r="I99">
        <f t="shared" si="9"/>
        <v>-4.9343000000000282E-2</v>
      </c>
      <c r="J99" t="s">
        <v>5</v>
      </c>
      <c r="K99">
        <f t="shared" si="7"/>
        <v>0.763918918</v>
      </c>
      <c r="L99" t="s">
        <v>8</v>
      </c>
      <c r="M99" s="2">
        <f t="shared" si="5"/>
        <v>30.075564193551802</v>
      </c>
    </row>
    <row r="100" spans="1:13" x14ac:dyDescent="0.3">
      <c r="A100" t="s">
        <v>0</v>
      </c>
      <c r="B100">
        <v>3171</v>
      </c>
      <c r="C100">
        <f t="shared" si="6"/>
        <v>3.1709999999999998</v>
      </c>
      <c r="D100" t="s">
        <v>6</v>
      </c>
      <c r="E100">
        <f t="shared" si="8"/>
        <v>2.1049999999999995</v>
      </c>
      <c r="F100" t="s">
        <v>1</v>
      </c>
      <c r="G100">
        <v>0</v>
      </c>
      <c r="H100" t="s">
        <v>2</v>
      </c>
      <c r="I100">
        <f t="shared" si="9"/>
        <v>-5.0323000000000284E-2</v>
      </c>
      <c r="J100" t="s">
        <v>5</v>
      </c>
      <c r="K100">
        <f t="shared" si="7"/>
        <v>0.76292225800000002</v>
      </c>
      <c r="L100" t="s">
        <v>8</v>
      </c>
      <c r="M100" s="2">
        <f t="shared" si="5"/>
        <v>30.036325589685802</v>
      </c>
    </row>
    <row r="101" spans="1:13" x14ac:dyDescent="0.3">
      <c r="A101" t="s">
        <v>0</v>
      </c>
      <c r="B101">
        <v>3191</v>
      </c>
      <c r="C101">
        <f t="shared" si="6"/>
        <v>3.1909999999999998</v>
      </c>
      <c r="D101" t="s">
        <v>6</v>
      </c>
      <c r="E101">
        <f t="shared" si="8"/>
        <v>2.1249999999999996</v>
      </c>
      <c r="F101" t="s">
        <v>1</v>
      </c>
      <c r="G101">
        <v>-9.8000000000000004E-2</v>
      </c>
      <c r="H101" t="s">
        <v>2</v>
      </c>
      <c r="I101">
        <f t="shared" si="9"/>
        <v>-5.2895500000000324E-2</v>
      </c>
      <c r="J101" t="s">
        <v>5</v>
      </c>
      <c r="K101">
        <f t="shared" si="7"/>
        <v>0.761890073</v>
      </c>
      <c r="L101" t="s">
        <v>8</v>
      </c>
      <c r="M101" s="2">
        <f t="shared" si="5"/>
        <v>29.995688363017301</v>
      </c>
    </row>
    <row r="102" spans="1:13" x14ac:dyDescent="0.3">
      <c r="A102" t="s">
        <v>0</v>
      </c>
      <c r="B102">
        <v>3212</v>
      </c>
      <c r="C102">
        <f t="shared" si="6"/>
        <v>3.2120000000000002</v>
      </c>
      <c r="D102" t="s">
        <v>6</v>
      </c>
      <c r="E102">
        <f t="shared" si="8"/>
        <v>2.1459999999999999</v>
      </c>
      <c r="F102" t="s">
        <v>1</v>
      </c>
      <c r="G102">
        <v>-0.14699999999999999</v>
      </c>
      <c r="H102" t="s">
        <v>2</v>
      </c>
      <c r="I102">
        <f t="shared" si="9"/>
        <v>-5.7967000000000254E-2</v>
      </c>
      <c r="J102" t="s">
        <v>5</v>
      </c>
      <c r="K102">
        <f t="shared" si="7"/>
        <v>0.76072601674999996</v>
      </c>
      <c r="L102" t="s">
        <v>8</v>
      </c>
      <c r="M102" s="2">
        <f t="shared" si="5"/>
        <v>29.949859352049174</v>
      </c>
    </row>
    <row r="103" spans="1:13" x14ac:dyDescent="0.3">
      <c r="A103" t="s">
        <v>0</v>
      </c>
      <c r="B103">
        <v>3235</v>
      </c>
      <c r="C103">
        <f t="shared" si="6"/>
        <v>3.2349999999999999</v>
      </c>
      <c r="D103" t="s">
        <v>6</v>
      </c>
      <c r="E103">
        <f t="shared" si="8"/>
        <v>2.1689999999999996</v>
      </c>
      <c r="F103" t="s">
        <v>1</v>
      </c>
      <c r="G103">
        <v>-0.29399999999999998</v>
      </c>
      <c r="H103" t="s">
        <v>2</v>
      </c>
      <c r="I103">
        <f t="shared" si="9"/>
        <v>-6.120100000000029E-2</v>
      </c>
      <c r="J103" t="s">
        <v>5</v>
      </c>
      <c r="K103">
        <f t="shared" si="7"/>
        <v>0.75935558474999998</v>
      </c>
      <c r="L103" t="s">
        <v>8</v>
      </c>
      <c r="M103" s="2">
        <f t="shared" si="5"/>
        <v>29.895905307165975</v>
      </c>
    </row>
    <row r="104" spans="1:13" x14ac:dyDescent="0.3">
      <c r="A104" t="s">
        <v>0</v>
      </c>
      <c r="B104">
        <v>3257</v>
      </c>
      <c r="C104">
        <f t="shared" si="6"/>
        <v>3.2570000000000001</v>
      </c>
      <c r="D104" t="s">
        <v>6</v>
      </c>
      <c r="E104">
        <f t="shared" si="8"/>
        <v>2.1909999999999998</v>
      </c>
      <c r="F104" t="s">
        <v>1</v>
      </c>
      <c r="G104">
        <v>0</v>
      </c>
      <c r="H104" t="s">
        <v>2</v>
      </c>
      <c r="I104">
        <f t="shared" si="9"/>
        <v>-6.1691000000000287E-2</v>
      </c>
      <c r="J104" t="s">
        <v>5</v>
      </c>
      <c r="K104">
        <f t="shared" si="7"/>
        <v>0.75800377274999997</v>
      </c>
      <c r="L104" t="s">
        <v>8</v>
      </c>
      <c r="M104" s="2">
        <f t="shared" si="5"/>
        <v>29.842684333544774</v>
      </c>
    </row>
    <row r="105" spans="1:13" x14ac:dyDescent="0.3">
      <c r="A105" t="s">
        <v>0</v>
      </c>
      <c r="B105">
        <v>3277</v>
      </c>
      <c r="C105">
        <f t="shared" si="6"/>
        <v>3.2770000000000001</v>
      </c>
      <c r="D105" t="s">
        <v>6</v>
      </c>
      <c r="E105">
        <f t="shared" si="8"/>
        <v>2.2109999999999999</v>
      </c>
      <c r="F105" t="s">
        <v>1</v>
      </c>
      <c r="G105">
        <v>-4.9000000000000002E-2</v>
      </c>
      <c r="H105" t="s">
        <v>2</v>
      </c>
      <c r="I105">
        <f t="shared" si="9"/>
        <v>-6.3161000000000286E-2</v>
      </c>
      <c r="J105" t="s">
        <v>5</v>
      </c>
      <c r="K105">
        <f t="shared" si="7"/>
        <v>0.75675525275</v>
      </c>
      <c r="L105" t="s">
        <v>8</v>
      </c>
      <c r="M105" s="2">
        <f t="shared" si="5"/>
        <v>29.793529976292774</v>
      </c>
    </row>
    <row r="106" spans="1:13" x14ac:dyDescent="0.3">
      <c r="A106" t="s">
        <v>0</v>
      </c>
      <c r="B106">
        <v>3297</v>
      </c>
      <c r="C106">
        <f t="shared" si="6"/>
        <v>3.2970000000000002</v>
      </c>
      <c r="D106" t="s">
        <v>6</v>
      </c>
      <c r="E106">
        <f t="shared" si="8"/>
        <v>2.2309999999999999</v>
      </c>
      <c r="F106" t="s">
        <v>1</v>
      </c>
      <c r="G106">
        <v>-9.8000000000000004E-2</v>
      </c>
      <c r="H106" t="s">
        <v>2</v>
      </c>
      <c r="I106">
        <f t="shared" si="9"/>
        <v>-6.5611000000000294E-2</v>
      </c>
      <c r="J106" t="s">
        <v>5</v>
      </c>
      <c r="K106">
        <f t="shared" si="7"/>
        <v>0.75546753275</v>
      </c>
      <c r="L106" t="s">
        <v>8</v>
      </c>
      <c r="M106" s="2">
        <f t="shared" si="5"/>
        <v>29.742832311120775</v>
      </c>
    </row>
    <row r="107" spans="1:13" x14ac:dyDescent="0.3">
      <c r="A107" t="s">
        <v>0</v>
      </c>
      <c r="B107">
        <v>3317</v>
      </c>
      <c r="C107">
        <f t="shared" si="6"/>
        <v>3.3170000000000002</v>
      </c>
      <c r="D107" t="s">
        <v>6</v>
      </c>
      <c r="E107">
        <f t="shared" si="8"/>
        <v>2.2509999999999999</v>
      </c>
      <c r="F107" t="s">
        <v>1</v>
      </c>
      <c r="G107">
        <v>-0.14699999999999999</v>
      </c>
      <c r="H107" t="s">
        <v>2</v>
      </c>
      <c r="I107">
        <f t="shared" si="9"/>
        <v>-6.8551000000000292E-2</v>
      </c>
      <c r="J107" t="s">
        <v>5</v>
      </c>
      <c r="K107">
        <f t="shared" si="7"/>
        <v>0.75412591274999996</v>
      </c>
      <c r="L107" t="s">
        <v>8</v>
      </c>
      <c r="M107" s="2">
        <f t="shared" si="5"/>
        <v>29.690012597558773</v>
      </c>
    </row>
    <row r="108" spans="1:13" x14ac:dyDescent="0.3">
      <c r="A108" t="s">
        <v>0</v>
      </c>
      <c r="B108">
        <v>3337</v>
      </c>
      <c r="C108">
        <f t="shared" si="6"/>
        <v>3.3370000000000002</v>
      </c>
      <c r="D108" t="s">
        <v>6</v>
      </c>
      <c r="E108">
        <f t="shared" si="8"/>
        <v>2.2709999999999999</v>
      </c>
      <c r="F108" t="s">
        <v>1</v>
      </c>
      <c r="G108">
        <v>-0.14699999999999999</v>
      </c>
      <c r="H108" t="s">
        <v>2</v>
      </c>
      <c r="I108">
        <f t="shared" si="9"/>
        <v>-7.0511000000000296E-2</v>
      </c>
      <c r="J108" t="s">
        <v>5</v>
      </c>
      <c r="K108">
        <f t="shared" si="7"/>
        <v>0.75273529274999995</v>
      </c>
      <c r="L108" t="s">
        <v>8</v>
      </c>
      <c r="M108" s="2">
        <f t="shared" si="5"/>
        <v>29.635263749096772</v>
      </c>
    </row>
    <row r="109" spans="1:13" x14ac:dyDescent="0.3">
      <c r="A109" t="s">
        <v>0</v>
      </c>
      <c r="B109">
        <v>3357</v>
      </c>
      <c r="C109">
        <f t="shared" si="6"/>
        <v>3.3570000000000002</v>
      </c>
      <c r="D109" t="s">
        <v>6</v>
      </c>
      <c r="E109">
        <f t="shared" si="8"/>
        <v>2.2909999999999999</v>
      </c>
      <c r="F109" t="s">
        <v>1</v>
      </c>
      <c r="G109">
        <v>-4.9000000000000002E-2</v>
      </c>
      <c r="H109" t="s">
        <v>2</v>
      </c>
      <c r="I109">
        <f t="shared" si="9"/>
        <v>-7.1491000000000277E-2</v>
      </c>
      <c r="J109" t="s">
        <v>5</v>
      </c>
      <c r="K109">
        <f t="shared" si="7"/>
        <v>0.75131527274999999</v>
      </c>
      <c r="L109" t="s">
        <v>8</v>
      </c>
      <c r="M109" s="2">
        <f t="shared" si="5"/>
        <v>29.579357419694777</v>
      </c>
    </row>
    <row r="110" spans="1:13" x14ac:dyDescent="0.3">
      <c r="A110" t="s">
        <v>0</v>
      </c>
      <c r="B110">
        <v>3377</v>
      </c>
      <c r="C110">
        <f t="shared" si="6"/>
        <v>3.3769999999999998</v>
      </c>
      <c r="D110" t="s">
        <v>6</v>
      </c>
      <c r="E110">
        <f t="shared" si="8"/>
        <v>2.3109999999999995</v>
      </c>
      <c r="F110" t="s">
        <v>1</v>
      </c>
      <c r="G110">
        <v>-4.9000000000000002E-2</v>
      </c>
      <c r="H110" t="s">
        <v>2</v>
      </c>
      <c r="I110">
        <f t="shared" si="9"/>
        <v>-7.2471000000000271E-2</v>
      </c>
      <c r="J110" t="s">
        <v>5</v>
      </c>
      <c r="K110">
        <f t="shared" si="7"/>
        <v>0.74987565275000001</v>
      </c>
      <c r="L110" t="s">
        <v>8</v>
      </c>
      <c r="M110" s="2">
        <f t="shared" si="5"/>
        <v>29.522679436332776</v>
      </c>
    </row>
    <row r="111" spans="1:13" x14ac:dyDescent="0.3">
      <c r="A111" t="s">
        <v>0</v>
      </c>
      <c r="B111">
        <v>3397</v>
      </c>
      <c r="C111">
        <f t="shared" si="6"/>
        <v>3.3969999999999998</v>
      </c>
      <c r="D111" t="s">
        <v>6</v>
      </c>
      <c r="E111">
        <f t="shared" si="8"/>
        <v>2.3309999999999995</v>
      </c>
      <c r="F111" t="s">
        <v>1</v>
      </c>
      <c r="G111">
        <v>-4.9000000000000002E-2</v>
      </c>
      <c r="H111" t="s">
        <v>2</v>
      </c>
      <c r="I111">
        <f t="shared" si="9"/>
        <v>-7.4088000000000293E-2</v>
      </c>
      <c r="J111" t="s">
        <v>5</v>
      </c>
      <c r="K111">
        <f t="shared" si="7"/>
        <v>0.74841006274999999</v>
      </c>
      <c r="L111" t="s">
        <v>8</v>
      </c>
      <c r="M111" s="2">
        <f t="shared" si="5"/>
        <v>29.464979011473776</v>
      </c>
    </row>
    <row r="112" spans="1:13" x14ac:dyDescent="0.3">
      <c r="A112" t="s">
        <v>0</v>
      </c>
      <c r="B112">
        <v>3419</v>
      </c>
      <c r="C112">
        <f t="shared" si="6"/>
        <v>3.419</v>
      </c>
      <c r="D112" t="s">
        <v>6</v>
      </c>
      <c r="E112">
        <f t="shared" si="8"/>
        <v>2.3529999999999998</v>
      </c>
      <c r="F112" t="s">
        <v>1</v>
      </c>
      <c r="G112">
        <v>-9.8000000000000004E-2</v>
      </c>
      <c r="H112" t="s">
        <v>2</v>
      </c>
      <c r="I112">
        <f t="shared" si="9"/>
        <v>-7.6660500000000284E-2</v>
      </c>
      <c r="J112" t="s">
        <v>5</v>
      </c>
      <c r="K112">
        <f t="shared" si="7"/>
        <v>0.74675182924999994</v>
      </c>
      <c r="L112" t="s">
        <v>8</v>
      </c>
      <c r="M112" s="2">
        <f t="shared" si="5"/>
        <v>29.399694192755423</v>
      </c>
    </row>
    <row r="113" spans="1:13" x14ac:dyDescent="0.3">
      <c r="A113" t="s">
        <v>0</v>
      </c>
      <c r="B113">
        <v>3440</v>
      </c>
      <c r="C113">
        <f t="shared" si="6"/>
        <v>3.44</v>
      </c>
      <c r="D113" t="s">
        <v>6</v>
      </c>
      <c r="E113">
        <f t="shared" si="8"/>
        <v>2.3739999999999997</v>
      </c>
      <c r="F113" t="s">
        <v>1</v>
      </c>
      <c r="G113">
        <v>-0.14699999999999999</v>
      </c>
      <c r="H113" t="s">
        <v>2</v>
      </c>
      <c r="I113">
        <f t="shared" si="9"/>
        <v>-7.8816500000000303E-2</v>
      </c>
      <c r="J113" t="s">
        <v>5</v>
      </c>
      <c r="K113">
        <f t="shared" si="7"/>
        <v>0.74511932074999998</v>
      </c>
      <c r="L113" t="s">
        <v>8</v>
      </c>
      <c r="M113" s="2">
        <f t="shared" si="5"/>
        <v>29.335422169859577</v>
      </c>
    </row>
    <row r="114" spans="1:13" x14ac:dyDescent="0.3">
      <c r="A114" t="s">
        <v>0</v>
      </c>
      <c r="B114">
        <v>3462</v>
      </c>
      <c r="C114">
        <f t="shared" si="6"/>
        <v>3.4620000000000002</v>
      </c>
      <c r="D114" t="s">
        <v>6</v>
      </c>
      <c r="E114">
        <f t="shared" si="8"/>
        <v>2.3959999999999999</v>
      </c>
      <c r="F114" t="s">
        <v>1</v>
      </c>
      <c r="G114">
        <v>-4.9000000000000002E-2</v>
      </c>
      <c r="H114" t="s">
        <v>2</v>
      </c>
      <c r="I114">
        <f t="shared" si="9"/>
        <v>-7.9796500000000298E-2</v>
      </c>
      <c r="J114" t="s">
        <v>5</v>
      </c>
      <c r="K114">
        <f t="shared" si="7"/>
        <v>0.74337457774999993</v>
      </c>
      <c r="L114" t="s">
        <v>8</v>
      </c>
      <c r="M114" s="2">
        <f t="shared" si="5"/>
        <v>29.266731463475274</v>
      </c>
    </row>
    <row r="115" spans="1:13" x14ac:dyDescent="0.3">
      <c r="A115" t="s">
        <v>0</v>
      </c>
      <c r="B115">
        <v>3482</v>
      </c>
      <c r="C115">
        <f t="shared" si="6"/>
        <v>3.4820000000000002</v>
      </c>
      <c r="D115" t="s">
        <v>6</v>
      </c>
      <c r="E115">
        <f t="shared" si="8"/>
        <v>2.4159999999999999</v>
      </c>
      <c r="F115" t="s">
        <v>1</v>
      </c>
      <c r="G115">
        <v>-4.9000000000000002E-2</v>
      </c>
      <c r="H115" t="s">
        <v>2</v>
      </c>
      <c r="I115">
        <f t="shared" si="9"/>
        <v>-8.0776500000000279E-2</v>
      </c>
      <c r="J115" t="s">
        <v>5</v>
      </c>
      <c r="K115">
        <f t="shared" si="7"/>
        <v>0.74176884774999996</v>
      </c>
      <c r="L115" t="s">
        <v>8</v>
      </c>
      <c r="M115" s="2">
        <f t="shared" si="5"/>
        <v>29.203513712802273</v>
      </c>
    </row>
    <row r="116" spans="1:13" x14ac:dyDescent="0.3">
      <c r="A116" t="s">
        <v>0</v>
      </c>
      <c r="B116">
        <v>3502</v>
      </c>
      <c r="C116">
        <f t="shared" si="6"/>
        <v>3.5019999999999998</v>
      </c>
      <c r="D116" t="s">
        <v>6</v>
      </c>
      <c r="E116">
        <f t="shared" si="8"/>
        <v>2.4359999999999995</v>
      </c>
      <c r="F116" t="s">
        <v>1</v>
      </c>
      <c r="G116">
        <v>-4.9000000000000002E-2</v>
      </c>
      <c r="H116" t="s">
        <v>2</v>
      </c>
      <c r="I116">
        <f t="shared" si="9"/>
        <v>-8.2246500000000278E-2</v>
      </c>
      <c r="J116" t="s">
        <v>5</v>
      </c>
      <c r="K116">
        <f t="shared" si="7"/>
        <v>0.74013861775000001</v>
      </c>
      <c r="L116" t="s">
        <v>8</v>
      </c>
      <c r="M116" s="2">
        <f t="shared" si="5"/>
        <v>29.139331394679274</v>
      </c>
    </row>
    <row r="117" spans="1:13" x14ac:dyDescent="0.3">
      <c r="A117" t="s">
        <v>0</v>
      </c>
      <c r="B117">
        <v>3522</v>
      </c>
      <c r="C117">
        <f t="shared" si="6"/>
        <v>3.5219999999999998</v>
      </c>
      <c r="D117" t="s">
        <v>6</v>
      </c>
      <c r="E117">
        <f t="shared" si="8"/>
        <v>2.4559999999999995</v>
      </c>
      <c r="F117" t="s">
        <v>1</v>
      </c>
      <c r="G117">
        <v>-9.8000000000000004E-2</v>
      </c>
      <c r="H117" t="s">
        <v>2</v>
      </c>
      <c r="I117">
        <f t="shared" si="9"/>
        <v>-8.4206500000000281E-2</v>
      </c>
      <c r="J117" t="s">
        <v>5</v>
      </c>
      <c r="K117">
        <f t="shared" si="7"/>
        <v>0.73847408775000001</v>
      </c>
      <c r="L117" t="s">
        <v>8</v>
      </c>
      <c r="M117" s="2">
        <f t="shared" si="5"/>
        <v>29.073798682126277</v>
      </c>
    </row>
    <row r="118" spans="1:13" x14ac:dyDescent="0.3">
      <c r="A118" t="s">
        <v>0</v>
      </c>
      <c r="B118">
        <v>3542</v>
      </c>
      <c r="C118">
        <f t="shared" si="6"/>
        <v>3.5419999999999998</v>
      </c>
      <c r="D118" t="s">
        <v>6</v>
      </c>
      <c r="E118">
        <f t="shared" si="8"/>
        <v>2.4759999999999995</v>
      </c>
      <c r="F118" t="s">
        <v>1</v>
      </c>
      <c r="G118">
        <v>-9.8000000000000004E-2</v>
      </c>
      <c r="H118" t="s">
        <v>2</v>
      </c>
      <c r="I118">
        <f t="shared" si="9"/>
        <v>-8.6166500000000285E-2</v>
      </c>
      <c r="J118" t="s">
        <v>5</v>
      </c>
      <c r="K118">
        <f t="shared" si="7"/>
        <v>0.73677035774999999</v>
      </c>
      <c r="L118" t="s">
        <v>8</v>
      </c>
      <c r="M118" s="2">
        <f t="shared" si="5"/>
        <v>29.006722661653274</v>
      </c>
    </row>
    <row r="119" spans="1:13" x14ac:dyDescent="0.3">
      <c r="A119" t="s">
        <v>0</v>
      </c>
      <c r="B119">
        <v>3562</v>
      </c>
      <c r="C119">
        <f t="shared" si="6"/>
        <v>3.5619999999999998</v>
      </c>
      <c r="D119" t="s">
        <v>6</v>
      </c>
      <c r="E119">
        <f t="shared" si="8"/>
        <v>2.4959999999999996</v>
      </c>
      <c r="F119" t="s">
        <v>1</v>
      </c>
      <c r="G119">
        <v>-9.8000000000000004E-2</v>
      </c>
      <c r="H119" t="s">
        <v>2</v>
      </c>
      <c r="I119">
        <f t="shared" si="9"/>
        <v>-8.7636500000000284E-2</v>
      </c>
      <c r="J119" t="s">
        <v>5</v>
      </c>
      <c r="K119">
        <f t="shared" si="7"/>
        <v>0.73503232774999994</v>
      </c>
      <c r="L119" t="s">
        <v>8</v>
      </c>
      <c r="M119" s="2">
        <f t="shared" si="5"/>
        <v>28.938296246750273</v>
      </c>
    </row>
    <row r="120" spans="1:13" x14ac:dyDescent="0.3">
      <c r="A120" t="s">
        <v>0</v>
      </c>
      <c r="B120">
        <v>3582</v>
      </c>
      <c r="C120">
        <f t="shared" si="6"/>
        <v>3.5819999999999999</v>
      </c>
      <c r="D120" t="s">
        <v>6</v>
      </c>
      <c r="E120">
        <f t="shared" si="8"/>
        <v>2.5159999999999996</v>
      </c>
      <c r="F120" t="s">
        <v>1</v>
      </c>
      <c r="G120">
        <v>-4.9000000000000002E-2</v>
      </c>
      <c r="H120" t="s">
        <v>2</v>
      </c>
      <c r="I120">
        <f t="shared" si="9"/>
        <v>-8.8616500000000278E-2</v>
      </c>
      <c r="J120" t="s">
        <v>5</v>
      </c>
      <c r="K120">
        <f t="shared" si="7"/>
        <v>0.7332697977499999</v>
      </c>
      <c r="L120" t="s">
        <v>8</v>
      </c>
      <c r="M120" s="2">
        <f t="shared" si="5"/>
        <v>28.86890526439727</v>
      </c>
    </row>
    <row r="121" spans="1:13" x14ac:dyDescent="0.3">
      <c r="A121" t="s">
        <v>0</v>
      </c>
      <c r="B121">
        <v>3602</v>
      </c>
      <c r="C121">
        <f t="shared" si="6"/>
        <v>3.6019999999999999</v>
      </c>
      <c r="D121" t="s">
        <v>6</v>
      </c>
      <c r="E121">
        <f t="shared" si="8"/>
        <v>2.5359999999999996</v>
      </c>
      <c r="F121" t="s">
        <v>1</v>
      </c>
      <c r="G121">
        <v>-4.9000000000000002E-2</v>
      </c>
      <c r="H121" t="s">
        <v>2</v>
      </c>
      <c r="I121">
        <f t="shared" si="9"/>
        <v>-9.0160000000000309E-2</v>
      </c>
      <c r="J121" t="s">
        <v>5</v>
      </c>
      <c r="K121">
        <f t="shared" si="7"/>
        <v>0.7314820327499999</v>
      </c>
      <c r="L121" t="s">
        <v>8</v>
      </c>
      <c r="M121" s="2">
        <f t="shared" si="5"/>
        <v>28.798520777570772</v>
      </c>
    </row>
    <row r="122" spans="1:13" x14ac:dyDescent="0.3">
      <c r="A122" t="s">
        <v>0</v>
      </c>
      <c r="B122">
        <v>3623</v>
      </c>
      <c r="C122">
        <f t="shared" si="6"/>
        <v>3.6230000000000002</v>
      </c>
      <c r="D122" t="s">
        <v>6</v>
      </c>
      <c r="E122">
        <f t="shared" si="8"/>
        <v>2.5569999999999999</v>
      </c>
      <c r="F122" t="s">
        <v>1</v>
      </c>
      <c r="G122">
        <v>-9.8000000000000004E-2</v>
      </c>
      <c r="H122" t="s">
        <v>2</v>
      </c>
      <c r="I122">
        <f t="shared" si="9"/>
        <v>3.5132999999999706E-2</v>
      </c>
      <c r="J122" t="s">
        <v>5</v>
      </c>
      <c r="K122">
        <f t="shared" si="7"/>
        <v>0.73090424924999986</v>
      </c>
      <c r="L122" t="s">
        <v>8</v>
      </c>
      <c r="M122" s="2">
        <f t="shared" si="5"/>
        <v>28.775773383397421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Sheet1!accel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stinson</dc:creator>
  <cp:lastModifiedBy>dylan stinson</cp:lastModifiedBy>
  <dcterms:created xsi:type="dcterms:W3CDTF">2014-10-10T03:36:47Z</dcterms:created>
  <dcterms:modified xsi:type="dcterms:W3CDTF">2014-10-13T16:12:42Z</dcterms:modified>
</cp:coreProperties>
</file>