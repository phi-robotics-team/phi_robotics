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\Desktop\2014-2015 Code\"/>
    </mc:Choice>
  </mc:AlternateContent>
  <bookViews>
    <workbookView xWindow="390" yWindow="45" windowWidth="16260" windowHeight="559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O20" i="1" l="1"/>
  <c r="O22" i="1" l="1"/>
  <c r="N2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I20" i="1"/>
  <c r="N22" i="1"/>
  <c r="P22" i="1"/>
  <c r="M22" i="1"/>
  <c r="L22" i="1"/>
  <c r="P20" i="1"/>
  <c r="M20" i="1"/>
  <c r="L20" i="1"/>
  <c r="B21" i="1"/>
  <c r="C21" i="1"/>
  <c r="J21" i="1" s="1"/>
  <c r="D21" i="1"/>
  <c r="E21" i="1"/>
  <c r="F21" i="1"/>
  <c r="G21" i="1"/>
  <c r="H21" i="1"/>
  <c r="I21" i="1"/>
  <c r="Q22" i="1" l="1"/>
  <c r="Q20" i="1"/>
  <c r="P21" i="1" s="1"/>
  <c r="H20" i="1"/>
  <c r="E20" i="1"/>
  <c r="B20" i="1"/>
  <c r="F20" i="1"/>
  <c r="C20" i="1"/>
  <c r="O21" i="1" l="1"/>
  <c r="R20" i="1"/>
  <c r="N21" i="1"/>
  <c r="L21" i="1"/>
  <c r="M21" i="1"/>
  <c r="J20" i="1"/>
</calcChain>
</file>

<file path=xl/sharedStrings.xml><?xml version="1.0" encoding="utf-8"?>
<sst xmlns="http://schemas.openxmlformats.org/spreadsheetml/2006/main" count="22" uniqueCount="16">
  <si>
    <t>Sergei</t>
  </si>
  <si>
    <t>Becky</t>
  </si>
  <si>
    <t>Hanna</t>
  </si>
  <si>
    <t>Kaitlin</t>
  </si>
  <si>
    <t>Eddie</t>
  </si>
  <si>
    <t>Anna</t>
  </si>
  <si>
    <t>Jonathan</t>
  </si>
  <si>
    <t>Holly</t>
  </si>
  <si>
    <t>avg</t>
  </si>
  <si>
    <t>name</t>
  </si>
  <si>
    <t xml:space="preserve"> </t>
  </si>
  <si>
    <t>time</t>
  </si>
  <si>
    <t>team</t>
  </si>
  <si>
    <t xml:space="preserve">grade </t>
  </si>
  <si>
    <t>.</t>
  </si>
  <si>
    <t xml:space="preserve">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</si>
</sst>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zoomScale="85" zoomScaleNormal="85" workbookViewId="0">
      <selection activeCell="P10" sqref="P10"/>
    </sheetView>
  </sheetViews>
  <sheetFormatPr defaultRowHeight="15" x14ac:dyDescent="0.25"/>
  <sheetData>
    <row r="1" spans="1:17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L1" t="s">
        <v>0</v>
      </c>
      <c r="M1" t="s">
        <v>5</v>
      </c>
      <c r="N1" t="s">
        <v>2</v>
      </c>
      <c r="O1" t="s">
        <v>4</v>
      </c>
      <c r="P1" t="s">
        <v>6</v>
      </c>
      <c r="Q1" t="s">
        <v>12</v>
      </c>
    </row>
    <row r="2" spans="1:17" x14ac:dyDescent="0.25">
      <c r="B2">
        <v>0</v>
      </c>
      <c r="C2">
        <v>0</v>
      </c>
      <c r="D2">
        <v>0</v>
      </c>
      <c r="E2">
        <v>58</v>
      </c>
      <c r="F2">
        <v>50</v>
      </c>
      <c r="G2">
        <v>20</v>
      </c>
      <c r="H2">
        <v>56</v>
      </c>
      <c r="I2">
        <v>40</v>
      </c>
      <c r="L2">
        <v>50</v>
      </c>
      <c r="M2">
        <v>68</v>
      </c>
      <c r="N2">
        <v>80</v>
      </c>
      <c r="O2">
        <v>40</v>
      </c>
      <c r="P2">
        <v>50</v>
      </c>
      <c r="Q2">
        <f>AVERAGE(L2:P2)</f>
        <v>57.6</v>
      </c>
    </row>
    <row r="3" spans="1:17" x14ac:dyDescent="0.25">
      <c r="B3">
        <v>43</v>
      </c>
      <c r="C3">
        <v>40</v>
      </c>
      <c r="D3">
        <v>20</v>
      </c>
      <c r="E3">
        <v>40</v>
      </c>
      <c r="F3">
        <v>50</v>
      </c>
      <c r="H3">
        <v>66</v>
      </c>
      <c r="I3">
        <v>40</v>
      </c>
      <c r="L3">
        <v>90</v>
      </c>
      <c r="M3">
        <v>60</v>
      </c>
      <c r="N3">
        <v>60</v>
      </c>
      <c r="P3">
        <v>120</v>
      </c>
      <c r="Q3">
        <f t="shared" ref="Q3:Q19" si="0">AVERAGE(L3:P3)</f>
        <v>82.5</v>
      </c>
    </row>
    <row r="4" spans="1:17" x14ac:dyDescent="0.25">
      <c r="B4">
        <v>120</v>
      </c>
      <c r="C4">
        <v>40</v>
      </c>
      <c r="D4">
        <v>60</v>
      </c>
      <c r="E4">
        <v>48</v>
      </c>
      <c r="F4">
        <v>114</v>
      </c>
      <c r="H4">
        <v>60</v>
      </c>
      <c r="I4">
        <v>40</v>
      </c>
      <c r="L4">
        <v>30</v>
      </c>
      <c r="M4">
        <v>60</v>
      </c>
      <c r="N4">
        <v>90</v>
      </c>
      <c r="P4">
        <v>182</v>
      </c>
      <c r="Q4">
        <f t="shared" si="0"/>
        <v>90.5</v>
      </c>
    </row>
    <row r="5" spans="1:17" x14ac:dyDescent="0.25">
      <c r="C5">
        <v>90</v>
      </c>
      <c r="E5">
        <v>60</v>
      </c>
      <c r="F5">
        <v>140</v>
      </c>
      <c r="H5">
        <v>48</v>
      </c>
      <c r="I5">
        <v>0</v>
      </c>
      <c r="L5">
        <v>120</v>
      </c>
      <c r="M5">
        <v>120</v>
      </c>
      <c r="N5">
        <v>90</v>
      </c>
      <c r="P5">
        <v>120</v>
      </c>
      <c r="Q5">
        <f t="shared" si="0"/>
        <v>112.5</v>
      </c>
    </row>
    <row r="6" spans="1:17" x14ac:dyDescent="0.25">
      <c r="C6">
        <v>60</v>
      </c>
      <c r="E6">
        <v>80</v>
      </c>
      <c r="I6">
        <v>40</v>
      </c>
      <c r="L6">
        <v>140</v>
      </c>
      <c r="M6">
        <v>140</v>
      </c>
      <c r="N6">
        <v>104</v>
      </c>
      <c r="O6">
        <v>150</v>
      </c>
      <c r="P6">
        <v>30</v>
      </c>
      <c r="Q6">
        <f t="shared" si="0"/>
        <v>112.8</v>
      </c>
    </row>
    <row r="7" spans="1:17" x14ac:dyDescent="0.25">
      <c r="E7">
        <v>120</v>
      </c>
      <c r="I7">
        <v>80</v>
      </c>
      <c r="L7">
        <v>50</v>
      </c>
      <c r="M7">
        <v>110</v>
      </c>
      <c r="N7">
        <v>100</v>
      </c>
      <c r="O7">
        <v>140</v>
      </c>
      <c r="P7">
        <v>186</v>
      </c>
      <c r="Q7">
        <f t="shared" si="0"/>
        <v>117.2</v>
      </c>
    </row>
    <row r="8" spans="1:17" x14ac:dyDescent="0.25">
      <c r="E8">
        <v>64</v>
      </c>
      <c r="I8">
        <v>60</v>
      </c>
      <c r="L8">
        <v>140</v>
      </c>
      <c r="N8">
        <v>140</v>
      </c>
      <c r="O8">
        <v>128</v>
      </c>
      <c r="P8">
        <v>188</v>
      </c>
      <c r="Q8">
        <f t="shared" si="0"/>
        <v>149</v>
      </c>
    </row>
    <row r="9" spans="1:17" x14ac:dyDescent="0.25">
      <c r="I9">
        <v>60</v>
      </c>
      <c r="L9">
        <v>100</v>
      </c>
      <c r="M9">
        <v>110</v>
      </c>
      <c r="N9">
        <v>80</v>
      </c>
      <c r="O9">
        <v>160</v>
      </c>
      <c r="P9">
        <v>110</v>
      </c>
      <c r="Q9">
        <f t="shared" si="0"/>
        <v>112</v>
      </c>
    </row>
    <row r="10" spans="1:17" x14ac:dyDescent="0.25">
      <c r="N10" t="s">
        <v>14</v>
      </c>
      <c r="Q10" t="e">
        <f t="shared" si="0"/>
        <v>#DIV/0!</v>
      </c>
    </row>
    <row r="11" spans="1:17" x14ac:dyDescent="0.25">
      <c r="N11" t="s">
        <v>15</v>
      </c>
      <c r="Q11" t="e">
        <f t="shared" si="0"/>
        <v>#DIV/0!</v>
      </c>
    </row>
    <row r="12" spans="1:17" x14ac:dyDescent="0.25">
      <c r="Q12" t="e">
        <f t="shared" si="0"/>
        <v>#DIV/0!</v>
      </c>
    </row>
    <row r="13" spans="1:17" x14ac:dyDescent="0.25">
      <c r="Q13" t="e">
        <f t="shared" si="0"/>
        <v>#DIV/0!</v>
      </c>
    </row>
    <row r="14" spans="1:17" x14ac:dyDescent="0.25">
      <c r="O14" t="s">
        <v>10</v>
      </c>
      <c r="Q14" t="e">
        <f t="shared" si="0"/>
        <v>#DIV/0!</v>
      </c>
    </row>
    <row r="15" spans="1:17" x14ac:dyDescent="0.25">
      <c r="Q15" t="e">
        <f t="shared" si="0"/>
        <v>#DIV/0!</v>
      </c>
    </row>
    <row r="16" spans="1:17" x14ac:dyDescent="0.25">
      <c r="Q16" t="e">
        <f t="shared" si="0"/>
        <v>#DIV/0!</v>
      </c>
    </row>
    <row r="17" spans="1:18" x14ac:dyDescent="0.25">
      <c r="Q17" t="e">
        <f t="shared" si="0"/>
        <v>#DIV/0!</v>
      </c>
    </row>
    <row r="18" spans="1:18" x14ac:dyDescent="0.25">
      <c r="Q18" t="e">
        <f t="shared" si="0"/>
        <v>#DIV/0!</v>
      </c>
    </row>
    <row r="19" spans="1:18" x14ac:dyDescent="0.25">
      <c r="Q19" t="e">
        <f t="shared" si="0"/>
        <v>#DIV/0!</v>
      </c>
    </row>
    <row r="20" spans="1:18" x14ac:dyDescent="0.25">
      <c r="A20" t="s">
        <v>8</v>
      </c>
      <c r="B20">
        <f>AVERAGE(B2:B19)</f>
        <v>54.333333333333336</v>
      </c>
      <c r="C20">
        <f>AVERAGE(C2:C19)</f>
        <v>46</v>
      </c>
      <c r="E20">
        <f>AVERAGE(E2:E19)</f>
        <v>67.142857142857139</v>
      </c>
      <c r="F20">
        <f>AVERAGE(F2:F19)</f>
        <v>88.5</v>
      </c>
      <c r="H20">
        <f>AVERAGE(H2:H19)</f>
        <v>57.5</v>
      </c>
      <c r="I20">
        <f>AVERAGE(I2:I19)</f>
        <v>45</v>
      </c>
      <c r="J20">
        <f>AVERAGE(B20:I20)</f>
        <v>59.746031746031747</v>
      </c>
      <c r="K20" t="s">
        <v>8</v>
      </c>
      <c r="L20">
        <f>AVERAGE(L2:L19)</f>
        <v>90</v>
      </c>
      <c r="M20">
        <f>AVERAGE(M2:M19)</f>
        <v>95.428571428571431</v>
      </c>
      <c r="N20">
        <f>AVERAGE(N2:N19)</f>
        <v>93</v>
      </c>
      <c r="O20">
        <f>AVERAGE(O2:O19)</f>
        <v>123.6</v>
      </c>
      <c r="P20">
        <f>AVERAGE(P2:P19)</f>
        <v>123.25</v>
      </c>
      <c r="Q20">
        <f>AVERAGE(L20:P20)</f>
        <v>105.05571428571429</v>
      </c>
      <c r="R20">
        <f>Q20/300*100</f>
        <v>35.018571428571427</v>
      </c>
    </row>
    <row r="21" spans="1:18" x14ac:dyDescent="0.25">
      <c r="B21">
        <f t="shared" ref="B21:H21" si="1">COUNT(B2:B9)*2</f>
        <v>6</v>
      </c>
      <c r="C21">
        <f t="shared" si="1"/>
        <v>10</v>
      </c>
      <c r="D21">
        <f t="shared" si="1"/>
        <v>6</v>
      </c>
      <c r="E21">
        <f t="shared" si="1"/>
        <v>14</v>
      </c>
      <c r="F21">
        <f t="shared" si="1"/>
        <v>8</v>
      </c>
      <c r="G21">
        <f t="shared" si="1"/>
        <v>2</v>
      </c>
      <c r="H21">
        <f t="shared" si="1"/>
        <v>8</v>
      </c>
      <c r="I21">
        <f>COUNT(I2:I9)*2</f>
        <v>16</v>
      </c>
      <c r="J21">
        <f>SUM(B21:I21)</f>
        <v>70</v>
      </c>
      <c r="K21" t="s">
        <v>13</v>
      </c>
      <c r="L21">
        <f>L20/Q20*100</f>
        <v>85.668828784726472</v>
      </c>
      <c r="M21">
        <f>M20/Q20*100</f>
        <v>90.83615496539251</v>
      </c>
      <c r="N21">
        <f>N20/Q20*100</f>
        <v>88.524456410884028</v>
      </c>
      <c r="O21">
        <f>O20/Q20*100</f>
        <v>117.65185819769101</v>
      </c>
      <c r="P21">
        <f>P20/Q20*100</f>
        <v>117.31870164130598</v>
      </c>
    </row>
    <row r="22" spans="1:18" x14ac:dyDescent="0.25">
      <c r="K22" t="s">
        <v>11</v>
      </c>
      <c r="L22">
        <f>COUNT(L2:L9)*2</f>
        <v>16</v>
      </c>
      <c r="M22">
        <f>COUNT(M2:M9)*2</f>
        <v>14</v>
      </c>
      <c r="N22">
        <f>COUNT(N2:N9)*2</f>
        <v>16</v>
      </c>
      <c r="O22">
        <f>COUNT(O2:O9)*2</f>
        <v>10</v>
      </c>
      <c r="P22">
        <f>COUNT(P2:P9)*2</f>
        <v>16</v>
      </c>
      <c r="Q22">
        <f>SUM(L22:P22)</f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stinson</dc:creator>
  <cp:lastModifiedBy>PHI</cp:lastModifiedBy>
  <dcterms:created xsi:type="dcterms:W3CDTF">2015-01-09T02:24:09Z</dcterms:created>
  <dcterms:modified xsi:type="dcterms:W3CDTF">2015-01-17T05:05:38Z</dcterms:modified>
</cp:coreProperties>
</file>