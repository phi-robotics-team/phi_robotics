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2&amp;4322\Desktop\Codes\Engineering Notebook\Omega\PHI Notebook 2014-2015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21" i="1" l="1"/>
  <c r="J10" i="1"/>
</calcChain>
</file>

<file path=xl/sharedStrings.xml><?xml version="1.0" encoding="utf-8"?>
<sst xmlns="http://schemas.openxmlformats.org/spreadsheetml/2006/main" count="43" uniqueCount="39">
  <si>
    <t>Expenses</t>
  </si>
  <si>
    <t>Price</t>
  </si>
  <si>
    <t>Registration</t>
  </si>
  <si>
    <t>Tournaments</t>
  </si>
  <si>
    <t>Shirts/Labcoats</t>
  </si>
  <si>
    <t>Parts</t>
  </si>
  <si>
    <t>Travel</t>
  </si>
  <si>
    <t>Office Supplies</t>
  </si>
  <si>
    <t xml:space="preserve">Field </t>
  </si>
  <si>
    <t>Lego Teams</t>
  </si>
  <si>
    <t>Batteries</t>
  </si>
  <si>
    <t>Tools</t>
  </si>
  <si>
    <t>Tetrix</t>
  </si>
  <si>
    <t>Andy Mark</t>
  </si>
  <si>
    <t>Home Depot</t>
  </si>
  <si>
    <t>Master Carr</t>
  </si>
  <si>
    <t>Karl's</t>
  </si>
  <si>
    <t>99 Cents Store</t>
  </si>
  <si>
    <t>Staples</t>
  </si>
  <si>
    <t>Michaels</t>
  </si>
  <si>
    <t>*PBP</t>
  </si>
  <si>
    <t>Total</t>
  </si>
  <si>
    <t>*PBP Paid By Parents</t>
  </si>
  <si>
    <t>Income</t>
  </si>
  <si>
    <t>Parents</t>
  </si>
  <si>
    <t>Yankee Candle Fundraiser</t>
  </si>
  <si>
    <t>Garage Sale Fundraiser</t>
  </si>
  <si>
    <t>Private Donations</t>
  </si>
  <si>
    <t>Lockheed Martin</t>
  </si>
  <si>
    <t>Northrop Grumman</t>
  </si>
  <si>
    <t>NASA</t>
  </si>
  <si>
    <t>Material Donations</t>
  </si>
  <si>
    <t xml:space="preserve">Spirent Communications </t>
  </si>
  <si>
    <t>Scaled Composites</t>
  </si>
  <si>
    <t>Amount</t>
  </si>
  <si>
    <t>Due to two teams this value is cut in half.</t>
  </si>
  <si>
    <t>……………..</t>
  </si>
  <si>
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</si>
  <si>
    <t>Sweet Frog Fundraiser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</si>
</sst>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selection activeCell="M9" sqref="M9"/>
    </sheetView>
  </sheetViews>
  <sheetFormatPr defaultRowHeight="15" x14ac:dyDescent="0.25"/>
  <cols>
    <col min="1" max="1" width="19.28515625" customWidth="1"/>
    <col min="2" max="2" width="13.42578125" customWidth="1"/>
    <col min="7" max="7" width="37.5703125" customWidth="1"/>
    <col min="8" max="8" width="0.140625" customWidth="1"/>
    <col min="9" max="9" width="22.85546875" customWidth="1"/>
  </cols>
  <sheetData>
    <row r="1" spans="1:10" x14ac:dyDescent="0.25">
      <c r="A1" t="s">
        <v>0</v>
      </c>
      <c r="D1" t="s">
        <v>1</v>
      </c>
      <c r="G1" t="s">
        <v>23</v>
      </c>
      <c r="J1" t="s">
        <v>34</v>
      </c>
    </row>
    <row r="2" spans="1:10" x14ac:dyDescent="0.25">
      <c r="A2" t="s">
        <v>2</v>
      </c>
      <c r="D2" s="1">
        <v>750</v>
      </c>
      <c r="G2" t="s">
        <v>24</v>
      </c>
      <c r="J2" s="1">
        <v>675</v>
      </c>
    </row>
    <row r="3" spans="1:10" x14ac:dyDescent="0.25">
      <c r="A3" t="s">
        <v>3</v>
      </c>
      <c r="D3" s="1">
        <v>500</v>
      </c>
      <c r="G3" t="s">
        <v>25</v>
      </c>
      <c r="J3" s="1">
        <v>500</v>
      </c>
    </row>
    <row r="4" spans="1:10" x14ac:dyDescent="0.25">
      <c r="A4" t="s">
        <v>4</v>
      </c>
      <c r="D4" t="s">
        <v>20</v>
      </c>
      <c r="G4" t="s">
        <v>26</v>
      </c>
      <c r="J4" s="1">
        <v>300</v>
      </c>
    </row>
    <row r="5" spans="1:10" x14ac:dyDescent="0.25">
      <c r="A5" t="s">
        <v>5</v>
      </c>
      <c r="D5" s="1">
        <f>SUM(D6:D13)</f>
        <v>1660</v>
      </c>
      <c r="G5" t="s">
        <v>38</v>
      </c>
      <c r="J5" s="1">
        <v>100</v>
      </c>
    </row>
    <row r="6" spans="1:10" x14ac:dyDescent="0.25">
      <c r="B6" t="s">
        <v>12</v>
      </c>
      <c r="D6" s="1">
        <v>900</v>
      </c>
      <c r="G6" t="s">
        <v>27</v>
      </c>
    </row>
    <row r="7" spans="1:10" x14ac:dyDescent="0.25">
      <c r="B7" t="s">
        <v>13</v>
      </c>
      <c r="D7" s="1">
        <v>400</v>
      </c>
      <c r="I7" t="s">
        <v>28</v>
      </c>
      <c r="J7" s="1">
        <v>750</v>
      </c>
    </row>
    <row r="8" spans="1:10" x14ac:dyDescent="0.25">
      <c r="B8" t="s">
        <v>14</v>
      </c>
      <c r="D8" s="1">
        <v>150</v>
      </c>
      <c r="I8" t="s">
        <v>29</v>
      </c>
      <c r="J8" s="1">
        <v>5500</v>
      </c>
    </row>
    <row r="9" spans="1:10" x14ac:dyDescent="0.25">
      <c r="B9" t="s">
        <v>15</v>
      </c>
      <c r="D9" s="1">
        <v>100</v>
      </c>
      <c r="I9" t="s">
        <v>30</v>
      </c>
      <c r="J9" s="1">
        <v>275</v>
      </c>
    </row>
    <row r="10" spans="1:10" x14ac:dyDescent="0.25">
      <c r="B10" t="s">
        <v>16</v>
      </c>
      <c r="D10" s="1">
        <v>30</v>
      </c>
      <c r="G10" t="s">
        <v>21</v>
      </c>
      <c r="J10" s="1">
        <f>SUM(J2:J9)</f>
        <v>8100</v>
      </c>
    </row>
    <row r="11" spans="1:10" x14ac:dyDescent="0.25">
      <c r="B11" t="s">
        <v>17</v>
      </c>
      <c r="D11" s="1">
        <v>10</v>
      </c>
      <c r="G11" t="s">
        <v>35</v>
      </c>
    </row>
    <row r="12" spans="1:10" x14ac:dyDescent="0.25">
      <c r="B12" t="s">
        <v>18</v>
      </c>
      <c r="D12" s="1">
        <v>40</v>
      </c>
      <c r="I12">
        <v>452</v>
      </c>
      <c r="J12" s="1">
        <v>4000</v>
      </c>
    </row>
    <row r="13" spans="1:10" x14ac:dyDescent="0.25">
      <c r="B13" t="s">
        <v>19</v>
      </c>
      <c r="D13" s="1">
        <v>30</v>
      </c>
      <c r="I13">
        <v>4322</v>
      </c>
      <c r="J13" s="1">
        <v>4000</v>
      </c>
    </row>
    <row r="14" spans="1:10" x14ac:dyDescent="0.25">
      <c r="A14" t="s">
        <v>6</v>
      </c>
      <c r="D14" t="s">
        <v>20</v>
      </c>
    </row>
    <row r="15" spans="1:10" x14ac:dyDescent="0.25">
      <c r="A15" t="s">
        <v>7</v>
      </c>
      <c r="D15" s="1">
        <v>40</v>
      </c>
    </row>
    <row r="16" spans="1:10" x14ac:dyDescent="0.25">
      <c r="A16" t="s">
        <v>8</v>
      </c>
      <c r="D16" s="1">
        <v>450</v>
      </c>
    </row>
    <row r="17" spans="1:23" x14ac:dyDescent="0.25">
      <c r="A17" t="s">
        <v>9</v>
      </c>
      <c r="D17" s="1">
        <v>700</v>
      </c>
    </row>
    <row r="18" spans="1:23" x14ac:dyDescent="0.25">
      <c r="A18" t="s">
        <v>10</v>
      </c>
      <c r="D18" s="1">
        <v>40</v>
      </c>
    </row>
    <row r="19" spans="1:23" x14ac:dyDescent="0.25">
      <c r="A19" t="s">
        <v>11</v>
      </c>
      <c r="D19" s="1">
        <v>100</v>
      </c>
    </row>
    <row r="20" spans="1:23" x14ac:dyDescent="0.25">
      <c r="G20" t="s">
        <v>31</v>
      </c>
    </row>
    <row r="21" spans="1:23" x14ac:dyDescent="0.25">
      <c r="A21" t="s">
        <v>21</v>
      </c>
      <c r="D21" s="1">
        <f>SUM(D2:D3)+SUM(D6:D13)+SUM(D15:D19)</f>
        <v>4240</v>
      </c>
      <c r="I21" t="s">
        <v>30</v>
      </c>
      <c r="J21" s="1">
        <v>700</v>
      </c>
    </row>
    <row r="22" spans="1:23" x14ac:dyDescent="0.25">
      <c r="I22" t="s">
        <v>32</v>
      </c>
      <c r="J22" s="1">
        <v>10</v>
      </c>
    </row>
    <row r="23" spans="1:23" x14ac:dyDescent="0.25">
      <c r="I23" t="s">
        <v>33</v>
      </c>
      <c r="J23" s="1">
        <v>100</v>
      </c>
    </row>
    <row r="24" spans="1:23" x14ac:dyDescent="0.25">
      <c r="A24" t="s">
        <v>22</v>
      </c>
      <c r="G24" t="s">
        <v>21</v>
      </c>
      <c r="J24" s="1">
        <v>810</v>
      </c>
    </row>
    <row r="25" spans="1:23" x14ac:dyDescent="0.25">
      <c r="W25" t="s">
        <v>36</v>
      </c>
    </row>
    <row r="26" spans="1:23" x14ac:dyDescent="0.25">
      <c r="K26">
        <v>0</v>
      </c>
    </row>
    <row r="30" spans="1:23" x14ac:dyDescent="0.25">
      <c r="V30" t="s">
        <v>37</v>
      </c>
      <c r="W30">
        <v>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452&amp;4322</dc:creator>
  <cp:lastModifiedBy>452&amp;4322</cp:lastModifiedBy>
  <dcterms:created xsi:type="dcterms:W3CDTF">2015-01-30T04:10:15Z</dcterms:created>
  <dcterms:modified xsi:type="dcterms:W3CDTF">2015-03-24T04:07:05Z</dcterms:modified>
</cp:coreProperties>
</file>